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d.docs.live.net/0bad909384b99155/Desktop/CIRC/2025 CIRC SPDO/"/>
    </mc:Choice>
  </mc:AlternateContent>
  <xr:revisionPtr revIDLastSave="91" documentId="8_{F8F9CC18-0CB4-4235-95AA-D06A368D0FF5}" xr6:coauthVersionLast="47" xr6:coauthVersionMax="47" xr10:uidLastSave="{89B45E97-F579-4EA0-9769-D4E5D6B5EADC}"/>
  <bookViews>
    <workbookView xWindow="-110" yWindow="-110" windowWidth="19420" windowHeight="10300" tabRatio="753" xr2:uid="{37322B39-E371-4305-8445-199AC705DEE3}"/>
  </bookViews>
  <sheets>
    <sheet name="Project Master data " sheetId="1" r:id="rId1"/>
    <sheet name="Sheet1" sheetId="7" state="hidden" r:id="rId2"/>
    <sheet name="Ministry Weighting" sheetId="2" r:id="rId3"/>
    <sheet name="Sheet2" sheetId="8" state="hidden" r:id="rId4"/>
    <sheet name="LGA Weighting" sheetId="3" r:id="rId5"/>
    <sheet name="SDG Weighting" sheetId="4" r:id="rId6"/>
    <sheet name="Office of the governors Project" sheetId="5" state="hidden" r:id="rId7"/>
    <sheet name="MDAs Codes" sheetId="6" r:id="rId8"/>
    <sheet name="Sheet3" sheetId="9" r:id="rId9"/>
  </sheets>
  <definedNames>
    <definedName name="_xlnm._FilterDatabase" localSheetId="0" hidden="1">'Project Master data '!$A$1:$Z$859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63" i="1" l="1"/>
  <c r="U462" i="1"/>
  <c r="U190" i="1"/>
  <c r="U393" i="1"/>
  <c r="U262" i="1"/>
  <c r="U260" i="1"/>
  <c r="U343" i="1"/>
  <c r="U678" i="1"/>
  <c r="U67" i="1"/>
  <c r="U66" i="1"/>
  <c r="U64" i="1"/>
  <c r="U62" i="1"/>
  <c r="U422" i="1"/>
  <c r="U420" i="1"/>
  <c r="U258" i="1"/>
  <c r="U256" i="1"/>
  <c r="U255" i="1"/>
  <c r="U380" i="1"/>
  <c r="U379" i="1"/>
  <c r="U405" i="1"/>
  <c r="U376" i="1"/>
  <c r="U395" i="1"/>
  <c r="U373" i="1"/>
  <c r="U374" i="1"/>
  <c r="U252" i="1"/>
  <c r="U305" i="1"/>
  <c r="U268" i="1"/>
  <c r="U741" i="1"/>
  <c r="U740" i="1"/>
  <c r="U739" i="1"/>
  <c r="U738" i="1"/>
  <c r="U737" i="1"/>
  <c r="U723" i="1"/>
  <c r="U718" i="1"/>
  <c r="U722" i="1"/>
  <c r="U715" i="1"/>
  <c r="U706" i="1"/>
  <c r="C938" i="2"/>
  <c r="P369" i="1"/>
  <c r="B21" i="4"/>
  <c r="B19" i="3"/>
  <c r="B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Bella</author>
  </authors>
  <commentList>
    <comment ref="F1" authorId="0" shapeId="0" xr:uid="{91EF7AAA-33F5-442F-98B5-FFA4E3016746}">
      <text>
        <r>
          <rPr>
            <b/>
            <sz val="9"/>
            <color indexed="81"/>
            <rFont val="Tahoma"/>
            <family val="2"/>
          </rPr>
          <t>Bella:</t>
        </r>
        <r>
          <rPr>
            <sz val="9"/>
            <color indexed="81"/>
            <rFont val="Tahoma"/>
            <family val="2"/>
          </rPr>
          <t xml:space="preserve">
Please, update this field using the drop down</t>
        </r>
      </text>
    </comment>
  </commentList>
</comments>
</file>

<file path=xl/sharedStrings.xml><?xml version="1.0" encoding="utf-8"?>
<sst xmlns="http://schemas.openxmlformats.org/spreadsheetml/2006/main" count="10288" uniqueCount="2622">
  <si>
    <t>Projects Codes</t>
  </si>
  <si>
    <t>Project/Initiatives Name</t>
  </si>
  <si>
    <t>Project Description</t>
  </si>
  <si>
    <t>LGA</t>
  </si>
  <si>
    <t>Name of MDA</t>
  </si>
  <si>
    <t>IS Column E a Ministry/ Department/ Agency/ Office?</t>
  </si>
  <si>
    <t>Who is Column E reporting to?</t>
  </si>
  <si>
    <t>MDA/LGA Weighting</t>
  </si>
  <si>
    <t>State Weighting</t>
  </si>
  <si>
    <t>Theme</t>
  </si>
  <si>
    <t>Theme weighting</t>
  </si>
  <si>
    <t>SDG</t>
  </si>
  <si>
    <t>SDG weighting</t>
  </si>
  <si>
    <t>Start Date</t>
  </si>
  <si>
    <t>End Date</t>
  </si>
  <si>
    <t xml:space="preserve">Timeline </t>
  </si>
  <si>
    <t>Status</t>
  </si>
  <si>
    <t>Budgetted Cost</t>
  </si>
  <si>
    <t>Project Cost</t>
  </si>
  <si>
    <t>Spent till date</t>
  </si>
  <si>
    <t>Project Progress</t>
  </si>
  <si>
    <t>IGR Projects</t>
  </si>
  <si>
    <t>Specify the IGR status</t>
  </si>
  <si>
    <t>Programs</t>
  </si>
  <si>
    <t>IS THIS PROJECT PART OF AN INITIATIVE.?</t>
  </si>
  <si>
    <t>SPECIFY THE TYPE OF INITIATIVE</t>
  </si>
  <si>
    <t>SPDO-MAG-P-23-00038</t>
  </si>
  <si>
    <t>Purchase of Certified Assorted Seeds for Agricultural Development</t>
  </si>
  <si>
    <t>Jalingo</t>
  </si>
  <si>
    <t>Ministry of Agriculture &amp; Food Security</t>
  </si>
  <si>
    <t>Ministry</t>
  </si>
  <si>
    <t>Economic and Job Creation</t>
  </si>
  <si>
    <t>Decent Work and Economic Growth</t>
  </si>
  <si>
    <t>31/12/2024</t>
  </si>
  <si>
    <t>Ongoing</t>
  </si>
  <si>
    <t>No</t>
  </si>
  <si>
    <t>Crop value chains and food systems promotion (food and cash crops of state’s comparative advantage)</t>
  </si>
  <si>
    <t>SPDO-MAG-P-23-00039</t>
  </si>
  <si>
    <t>Provision for National Agricultural Programme at Abuja FCT.</t>
  </si>
  <si>
    <t>Abuja</t>
  </si>
  <si>
    <t>Industry, Innovation and Infrastructure</t>
  </si>
  <si>
    <t>31/12/2025</t>
  </si>
  <si>
    <t>Public Private Partnerships (corporate private sector, NGOs, donors &amp; development partners, farmers organizations)</t>
  </si>
  <si>
    <t>SPDO-MAG-P-23-00040</t>
  </si>
  <si>
    <t>Provision and Plantation of Cassava in the State</t>
  </si>
  <si>
    <t>31/12/2026</t>
  </si>
  <si>
    <t>SPDO-MAG-P-23-00041</t>
  </si>
  <si>
    <t>Procurement of NPK and Urea Fertilizers to Farmers for Improved Seeds in the State</t>
  </si>
  <si>
    <t>31/12/2027</t>
  </si>
  <si>
    <t>Not Started</t>
  </si>
  <si>
    <t>COVID-19 - General</t>
  </si>
  <si>
    <t>SPDO-MAG-P-23-00042</t>
  </si>
  <si>
    <t>Purchase of Agro Chemicals and Equipment in the Taraba State</t>
  </si>
  <si>
    <t>End Poverty in all its forms</t>
  </si>
  <si>
    <t>31/12/2028</t>
  </si>
  <si>
    <t>Farm inputs supply and service delivery system (improved seeds, fertilizer, agro-chemicals etc.)</t>
  </si>
  <si>
    <t>SPDO-MAG-P-23-00043</t>
  </si>
  <si>
    <t xml:space="preserve">Completion of Jalingo Modern Abattoir </t>
  </si>
  <si>
    <t>Meat Inspection and Hygiene</t>
  </si>
  <si>
    <t>Meat processing and marketing</t>
  </si>
  <si>
    <t>SPDO-MAG-P-23-00044</t>
  </si>
  <si>
    <t xml:space="preserve">Procurement and Distribution of Agricultural Lime </t>
  </si>
  <si>
    <t>31/12/2030</t>
  </si>
  <si>
    <t>Integrated rural development (agricultural land development, farm mechanization, &amp; rural infrastructures</t>
  </si>
  <si>
    <t>SPDO-MAG-P-23-00046</t>
  </si>
  <si>
    <t xml:space="preserve">Procurement of Tractors and Implements/Accessories </t>
  </si>
  <si>
    <t>Responsible Consumption &amp; Production</t>
  </si>
  <si>
    <t>Legal, policy, regulations and standards, guidelines and protocols development and reviews</t>
  </si>
  <si>
    <t>SPDO-MAG-P-23-00047</t>
  </si>
  <si>
    <t>Purchase of Heavy Duty Equipment</t>
  </si>
  <si>
    <t>31/12/2032</t>
  </si>
  <si>
    <t>SPDO-MAG-P-23-00048</t>
  </si>
  <si>
    <t>Cadre Harmonized (CH) Survey, data analysis and consollidation</t>
  </si>
  <si>
    <t>31/12/2033</t>
  </si>
  <si>
    <t>Agricultural data and statistic management and institutionalisation of information and communication technology (ICT)</t>
  </si>
  <si>
    <t>SPDO-MAG-P-23-00049</t>
  </si>
  <si>
    <t>Purchase of fishing Equipment and Stocking of Fish at Tunga Dam (Sardauna)</t>
  </si>
  <si>
    <t>Sardauna</t>
  </si>
  <si>
    <t>Zero Hunger</t>
  </si>
  <si>
    <t>31/12/2034</t>
  </si>
  <si>
    <t>Commercial aquaculture development (fish production, feed mills development, fishing inputs etc.)</t>
  </si>
  <si>
    <t>SPDO-MAG-P-23-00050</t>
  </si>
  <si>
    <t>Livestock Supplementary Feed Programme</t>
  </si>
  <si>
    <t>31/12/2035</t>
  </si>
  <si>
    <t>Livestock feeds development</t>
  </si>
  <si>
    <t>SPDO-MAG-P-23-00051</t>
  </si>
  <si>
    <t>Livestock Productivity &amp; Resilience Support Project (L - PRES) Counterpart Fund</t>
  </si>
  <si>
    <t>31/12/2036</t>
  </si>
  <si>
    <t>SPDO-MAG-P-23-00052</t>
  </si>
  <si>
    <t>Provision of Veterinary Drugs &amp; Vaccines for Disease Control</t>
  </si>
  <si>
    <t>Healthcare</t>
  </si>
  <si>
    <t>Good Health and well-being</t>
  </si>
  <si>
    <t>31/12/2037</t>
  </si>
  <si>
    <t>SPDO-MAG-P-23-00053</t>
  </si>
  <si>
    <t>Purchase of fishing Equipment and Stocking of Fish at Kashimbila Dam (Takum)</t>
  </si>
  <si>
    <t>Takum</t>
  </si>
  <si>
    <t>31/12/2038</t>
  </si>
  <si>
    <t>SPDO-MAG-P-23-00054</t>
  </si>
  <si>
    <t>Procurement of 26No. MotorCycles and 5No. Flying Boats</t>
  </si>
  <si>
    <t>31/12/2039</t>
  </si>
  <si>
    <t>CLIMATE CHANGE - General</t>
  </si>
  <si>
    <t>SPDO-MAG-P-23-00055</t>
  </si>
  <si>
    <t>Construction and Maintainance of 1No. Solar Vaccines Cold</t>
  </si>
  <si>
    <t>31/12/2040</t>
  </si>
  <si>
    <t>SPDO-MAG-P-23-00056</t>
  </si>
  <si>
    <t>Procurement of Mini Storage Bins 10mt capacity</t>
  </si>
  <si>
    <t>31/12/2041</t>
  </si>
  <si>
    <t>SPDO-MAG-P-23-00057</t>
  </si>
  <si>
    <t>Management of Nappier Grass Farm at Mayo Kam Ranch Site</t>
  </si>
  <si>
    <t>Bali</t>
  </si>
  <si>
    <t>31/12/2042</t>
  </si>
  <si>
    <t>SPDO-MAG-P-23-00058</t>
  </si>
  <si>
    <t>Provision of Food and Nutrition Activities in the State</t>
  </si>
  <si>
    <t>Women and Youth Empowerment</t>
  </si>
  <si>
    <t>31/12/2043</t>
  </si>
  <si>
    <t>SPDO-MAG-P-23-00059</t>
  </si>
  <si>
    <t>Esstablishment of Aquaculture and Fingerling production in 3 Geopolitical Zones</t>
  </si>
  <si>
    <t>All LGAs</t>
  </si>
  <si>
    <t>31/12/2044</t>
  </si>
  <si>
    <t>SPDO-MAG-P-23-00060</t>
  </si>
  <si>
    <t xml:space="preserve">Development of Marmi Fish Pond </t>
  </si>
  <si>
    <t>31/12/2045</t>
  </si>
  <si>
    <t>SPDO-MCT-P-23-00012</t>
  </si>
  <si>
    <t>Ministry of Commerce, Trade &amp; Industry</t>
  </si>
  <si>
    <t>31/12/2046</t>
  </si>
  <si>
    <t>NA</t>
  </si>
  <si>
    <t>Reform of Government and Governance - General</t>
  </si>
  <si>
    <t>SPDO-MCT-P-23-00013</t>
  </si>
  <si>
    <t>Establishment of Industrial Clusters for Fabrication &amp; Welding</t>
  </si>
  <si>
    <t>31/12/2047</t>
  </si>
  <si>
    <t>SPDO-MCT-P-23-00014</t>
  </si>
  <si>
    <t>Contruction of Excibition Hall at Trade Fair Complex</t>
  </si>
  <si>
    <t>31/12/2048</t>
  </si>
  <si>
    <t>SPDO-MCP-P-23-00011</t>
  </si>
  <si>
    <t>Skills Acquisition Capacity Development Programme</t>
  </si>
  <si>
    <t>Ministry of Poverty Alleviation</t>
  </si>
  <si>
    <t>31/12/2049</t>
  </si>
  <si>
    <t>SPDO-MCP-P-23-00012</t>
  </si>
  <si>
    <t>Workshop on Cooperative Matters (For Cooperative Society's Officials)</t>
  </si>
  <si>
    <t>31/12/2050</t>
  </si>
  <si>
    <t>Poverty Alleviation - General</t>
  </si>
  <si>
    <t>SPDO-MDI-P-23-00005</t>
  </si>
  <si>
    <t>State Digital Economy and Innovation (SDE&amp;I) Policy and Strategy</t>
  </si>
  <si>
    <t>Ministry of Digital Economy &amp; Innovation</t>
  </si>
  <si>
    <t>SPDO-MDI-P-23-00006</t>
  </si>
  <si>
    <t xml:space="preserve">Procurement of 6 Digital Bill Boards for Advertisement </t>
  </si>
  <si>
    <t>Education</t>
  </si>
  <si>
    <t>SPDO-MDI-P-23-00007</t>
  </si>
  <si>
    <t xml:space="preserve">Procurement of Digital &amp; ICT facilities for HUB and CBT </t>
  </si>
  <si>
    <t>SPDO-MDI-P-23-00008</t>
  </si>
  <si>
    <t>Digital Biometric data Capturing for CSC</t>
  </si>
  <si>
    <t>SPDO-MDI-P-23-00009</t>
  </si>
  <si>
    <t>Establishment of SDITDA</t>
  </si>
  <si>
    <t>SPDO-MDI-P-23-00010</t>
  </si>
  <si>
    <t xml:space="preserve">Solar Electricity Installation </t>
  </si>
  <si>
    <t>SPDO-MDI-P-23-00011</t>
  </si>
  <si>
    <t>Contruction of Digital Hub in South/Central Zone of the State</t>
  </si>
  <si>
    <t xml:space="preserve">Wukari, Bali </t>
  </si>
  <si>
    <t>SPDO-MDI-P-23-00012</t>
  </si>
  <si>
    <t xml:space="preserve">Digitalization of Specialist Hospital </t>
  </si>
  <si>
    <t>SPDO-MED-P-23-00025</t>
  </si>
  <si>
    <t>Procurement of Sporting/Games Facilities for Schools</t>
  </si>
  <si>
    <t>Ministry of Education</t>
  </si>
  <si>
    <t xml:space="preserve"> Education</t>
  </si>
  <si>
    <t>Quality Education</t>
  </si>
  <si>
    <t xml:space="preserve">Schools’ infrastructure construction and rehabilitation </t>
  </si>
  <si>
    <t>SPDO-MED-P-23-00026</t>
  </si>
  <si>
    <t>Procurement and Maintenance of EMIS ICT Facilities in the Ministry &amp; 30No. Secondary Schools</t>
  </si>
  <si>
    <t>ICT equipment, software and expertise</t>
  </si>
  <si>
    <t>SPDO-MED-P-23-00027</t>
  </si>
  <si>
    <t>Provision for Student's Exchange Programme in the State</t>
  </si>
  <si>
    <t>31/07/2024</t>
  </si>
  <si>
    <t>Inclusive Education</t>
  </si>
  <si>
    <t>SPDO-MED-P-23-00028</t>
  </si>
  <si>
    <t>Renovation of 2No. Unity Schools (MGGS Wukari &amp; GCSS Jalingo)</t>
  </si>
  <si>
    <t>Jalingo, Wukari</t>
  </si>
  <si>
    <t>SPDO-MED-P-23-00029</t>
  </si>
  <si>
    <t>Renovation of 2No. Blocks of 3No. Class Rooms in 30No. Secondary Schools</t>
  </si>
  <si>
    <t>SPDO-MED-P-23-00030</t>
  </si>
  <si>
    <t>Construction of ERC Office</t>
  </si>
  <si>
    <t>SPDO-MED-P-23-00031</t>
  </si>
  <si>
    <t>Procurement of ICT Facilities for ERC</t>
  </si>
  <si>
    <t>SPDO-MED-P-23-00032</t>
  </si>
  <si>
    <t>Teaching and non-teaching staff capacity building</t>
  </si>
  <si>
    <t>SPDO-MED-P-23-00033</t>
  </si>
  <si>
    <t>Conduct of Annual School Census/Schools Record Training</t>
  </si>
  <si>
    <t>Human and institutional capacity performance management</t>
  </si>
  <si>
    <t>SPDO-MED-P-23-00034</t>
  </si>
  <si>
    <t>Purchase of Science Chemicals &amp; Laboratory Equipment in Schools</t>
  </si>
  <si>
    <t xml:space="preserve">Instructional and learning materials </t>
  </si>
  <si>
    <t>SPDO-MED-P-23-00035</t>
  </si>
  <si>
    <t>Construction of State Library Complex in Jalingo</t>
  </si>
  <si>
    <t>SPDO-MED-P-23-00036</t>
  </si>
  <si>
    <t>Coordination of IDPs Pupils/Students in the State</t>
  </si>
  <si>
    <t>Security, Peace and Unity</t>
  </si>
  <si>
    <t>Integrated supportive supervision</t>
  </si>
  <si>
    <t>SPDO-MED-P-23-00037</t>
  </si>
  <si>
    <t>Provision for National and State Sport Festival at Jalingo, Abuja FCT</t>
  </si>
  <si>
    <t>Jalingo, Abuja</t>
  </si>
  <si>
    <t>Peace, Justice and Strong Institutions</t>
  </si>
  <si>
    <t>Advocacy and sensitization</t>
  </si>
  <si>
    <t>SPDO-MED-P-23-00038</t>
  </si>
  <si>
    <t>Construction of 6No. Model Secondary School in Jalingo</t>
  </si>
  <si>
    <t>SPDO-MED-P-23-00039</t>
  </si>
  <si>
    <t>Creation of Ministry Website and e-Learning Portal</t>
  </si>
  <si>
    <t>SPDO-MED-P-23-00040</t>
  </si>
  <si>
    <t>Procurement of Workshop Equipment for 7No. Technical Schools</t>
  </si>
  <si>
    <t>SPDO-MED-P-23-00041</t>
  </si>
  <si>
    <t>Conduct of BECE and Mock Examination (Production, Monitoring &amp; Marking)</t>
  </si>
  <si>
    <t>To relief parents  the burden of the cost of  their wards internal examinations</t>
  </si>
  <si>
    <t>31/10/2024</t>
  </si>
  <si>
    <t>Completed</t>
  </si>
  <si>
    <t>School examination and MLA</t>
  </si>
  <si>
    <t>SPDO-MED-P-23-00042</t>
  </si>
  <si>
    <t>Provision for National and State Quiz Competition</t>
  </si>
  <si>
    <t>SPDO-MED-P-23-00043</t>
  </si>
  <si>
    <t>School Farm and Garden (Primary and Secondary)</t>
  </si>
  <si>
    <t>SPDO-MED-P-23-00044</t>
  </si>
  <si>
    <t>Procurement of Teachers and Students Textbooks (Primary &amp; Secomdary)</t>
  </si>
  <si>
    <t>30/10/2025</t>
  </si>
  <si>
    <t>SPDO-MEE-P-23-00001</t>
  </si>
  <si>
    <t>Extension of 33kv From Line Suntai-Bali</t>
  </si>
  <si>
    <t>Ministry of Energy and Economic Development</t>
  </si>
  <si>
    <t>Affordable and Clean Energy</t>
  </si>
  <si>
    <t>Power - General</t>
  </si>
  <si>
    <t>SPDO-MEE-P-23-00002</t>
  </si>
  <si>
    <t>Extension of 33kv line from lafia</t>
  </si>
  <si>
    <t>SPDO-MEE-P-23-00003</t>
  </si>
  <si>
    <t xml:space="preserve">Extension of 33kv Line From Wukari To Tsokundi With Township network </t>
  </si>
  <si>
    <t>Wukari</t>
  </si>
  <si>
    <t>SPDO-MEE-P-23-00004</t>
  </si>
  <si>
    <t>Provision and maintenance of minigrid and Solar street light across the State</t>
  </si>
  <si>
    <t>SPDO-MEE-P-23-00005</t>
  </si>
  <si>
    <t>Connection of Ibbi/Wukari Water works to National Grid</t>
  </si>
  <si>
    <t>Ibbi, Wukari</t>
  </si>
  <si>
    <t>SPDO-MEE-P-23-00006</t>
  </si>
  <si>
    <t>Provision for Solar Street Light in Jalingo</t>
  </si>
  <si>
    <t>SPDO-MEE-P-23-00007</t>
  </si>
  <si>
    <t>Rehabilitation/Upgrading of Rural Electrification and Minigrid of Gembu</t>
  </si>
  <si>
    <t>SPDO-MEE-P-23-00008</t>
  </si>
  <si>
    <t xml:space="preserve">Survey/Enumeration assessment of unserved and underserved area and rural communities with no access to Electricity  </t>
  </si>
  <si>
    <t>SPDO-MEE-P-23-00009</t>
  </si>
  <si>
    <t>Provision of Desktop/Laptop Computers and accessories for Technical and Statistics Staff of the Ministry</t>
  </si>
  <si>
    <t>SPDO-MEE-P-23-00010</t>
  </si>
  <si>
    <t>Establish a standard Taraba State concrete pole industry and ring culvert</t>
  </si>
  <si>
    <t>SPDO-MEE-P-23-00011</t>
  </si>
  <si>
    <t>Manpower Capacity Development on Technical Services (Transformer repair, re-winding etc)</t>
  </si>
  <si>
    <t>SPDO-MEE-P-23-00012</t>
  </si>
  <si>
    <t>Drop-Down/Construction and installation of 15MVA 33/11Kv injection sub-station and 3No. 150Kva 11/0.415Kv at Taraba State Crushing and Asphalt plan Jalingo</t>
  </si>
  <si>
    <t>SPDO-MEE-P-23-00013</t>
  </si>
  <si>
    <t xml:space="preserve">Provision for Feasibility study for all Mini, Small and large renewable energy resources in the State </t>
  </si>
  <si>
    <t>SPDO-MEE-P-23-00014</t>
  </si>
  <si>
    <t>Extension of 33KV line Mararaba-Bissa to Bissa, Kurmi town to the national grid</t>
  </si>
  <si>
    <t>Kurmi</t>
  </si>
  <si>
    <t>SPDO-MEE-P-23-00015</t>
  </si>
  <si>
    <t xml:space="preserve">Expansion and Construction Of Additional Mini Hydro-Electric Power Plant at Kakara Tea production Company </t>
  </si>
  <si>
    <t>SPDO-MEE-P-23-00016</t>
  </si>
  <si>
    <t>Provision for Seminar, Economic Development and Energy training, and workshop for human capital development</t>
  </si>
  <si>
    <t>SPDO-MEE-P-23-00017</t>
  </si>
  <si>
    <t>Extension/Rehabilitation of 33kv line from Mararaba Mayo-Renewo village</t>
  </si>
  <si>
    <t>Ardo-Kola</t>
  </si>
  <si>
    <t>SPDO-MEE-P-23-00018</t>
  </si>
  <si>
    <t>Provision of upgrading/Rehabilitation of all non-functional rural electrification stations in the state</t>
  </si>
  <si>
    <t>SPDO-MEE-P-23-00019</t>
  </si>
  <si>
    <t>Extension of 33kv line to gassol town from mararraba Gassol and provision of TDN</t>
  </si>
  <si>
    <t>Gassol</t>
  </si>
  <si>
    <t>SPDO-MEE-P-23-00020</t>
  </si>
  <si>
    <t>Extension of 33kv line from wukari kente, with drop down at jende ikurlayi, ritti, igba and sondi</t>
  </si>
  <si>
    <t>SPDO-MEE-P-23-00021</t>
  </si>
  <si>
    <t>Provision of 650w Standalone solar system at Serti, Gembu, Bambur and Kumbo</t>
  </si>
  <si>
    <t>Sardauna, Karim-Lamido, Donga</t>
  </si>
  <si>
    <t>SPDO-MEE-P-23-00022</t>
  </si>
  <si>
    <t>Drop-down of 33kv line from Wukari and provision of TDN with 1Nos 300kva 33/0.415kv at Chonko Village Wukari LGA</t>
  </si>
  <si>
    <t>SPDO-MEE-P-23-00023</t>
  </si>
  <si>
    <t>Extension of 33kv line from Wukari-Gida Idi with provision of TDN and 2No 300kva 33/0.415 transformer</t>
  </si>
  <si>
    <t>SPDO-MEE-P-23-00024</t>
  </si>
  <si>
    <t>Extension and installation of Electricity network in Jalingo metropolitan</t>
  </si>
  <si>
    <t>SPDO-MEE-P-23-00025</t>
  </si>
  <si>
    <t>Extension of 33Kv line from Bali Town-Garba Chede and construction of 7.5MVA injection substation with 4Nos Distribution Transformer</t>
  </si>
  <si>
    <t>SPDO-MEE-P-23-00026</t>
  </si>
  <si>
    <t xml:space="preserve">Provision of 6MW Standalone Solar town at Jalingo metropolitan and Government House </t>
  </si>
  <si>
    <t>SPDO-MEE-P-23-00027</t>
  </si>
  <si>
    <t>Liaison with the Federal Ministry of Power, SCC, to connect to the surrounding communities from kashimbila to Takum to National grid</t>
  </si>
  <si>
    <t>SPDO-MEE-P-23-00028</t>
  </si>
  <si>
    <t xml:space="preserve">Extension of 33Kv line from Kpambo to Fikyu town </t>
  </si>
  <si>
    <t>Ussa</t>
  </si>
  <si>
    <t>SPDO-MEE-P-23-00029</t>
  </si>
  <si>
    <t>Extension of 33Kv line from Bali Serti town</t>
  </si>
  <si>
    <t>SPDO-MEE-P-23-00030</t>
  </si>
  <si>
    <t>Extension of 132Kv line from Wukari to Jalingo and connection to main transmission line at Jalingo</t>
  </si>
  <si>
    <t>Wukari, Jalingo</t>
  </si>
  <si>
    <t>SPDO-MEE-P-23-00031</t>
  </si>
  <si>
    <t xml:space="preserve">Procurement of bulk transformers </t>
  </si>
  <si>
    <t>SPDO-MEE-P-23-00032</t>
  </si>
  <si>
    <t>Procurement of electrical consumables</t>
  </si>
  <si>
    <t>SPDO-MEE-P-23-00033</t>
  </si>
  <si>
    <t>Extension of 33Kv line from Donga to Tunari and TDN of Tunari</t>
  </si>
  <si>
    <t>Donga</t>
  </si>
  <si>
    <t>SPDO-MEE-P-23-00034</t>
  </si>
  <si>
    <t>Provision of 500Kw Solar energy at Damper Village.</t>
  </si>
  <si>
    <t>Ibbi</t>
  </si>
  <si>
    <t>SPDO-MEE-P-23-00035</t>
  </si>
  <si>
    <t xml:space="preserve">Rehabilitation of 33Kv line Zing LGA </t>
  </si>
  <si>
    <t>Zing</t>
  </si>
  <si>
    <t>SPDO-MEE-P-23-00036</t>
  </si>
  <si>
    <t>Extension of 33Kv line from Mayo-Lope to Abbare</t>
  </si>
  <si>
    <t>Lau</t>
  </si>
  <si>
    <t>SPDO-MEE-P-23-00037</t>
  </si>
  <si>
    <t>Extension of 33Kv line from Hope afresh foundation to Government House and the surrounding</t>
  </si>
  <si>
    <t>SPDO-MEE-P-23-00038</t>
  </si>
  <si>
    <t>Procurement of 70T Crane Hiab</t>
  </si>
  <si>
    <t>SPDO-MEE-P-23-00039</t>
  </si>
  <si>
    <t>Programme for Promoting Investment And Development of the Energy Sector</t>
  </si>
  <si>
    <t>SPDO-MHT-P-23-00054</t>
  </si>
  <si>
    <t xml:space="preserve">Procurement of 175No. Tricycle Ambulances </t>
  </si>
  <si>
    <t>Ministry of Health</t>
  </si>
  <si>
    <t>SPDO-MHT-P-23-00055</t>
  </si>
  <si>
    <t>Oxygen Plants</t>
  </si>
  <si>
    <t>Functional health facilities</t>
  </si>
  <si>
    <t>SPDO-MHT-P-23-00056</t>
  </si>
  <si>
    <t>Construction of Primary Health Care Centre at Manang, Yorro LGA</t>
  </si>
  <si>
    <t>Yorro</t>
  </si>
  <si>
    <t>SPDO-MHT-P-23-00057</t>
  </si>
  <si>
    <t>Medical Assistance to State Indigents Persons</t>
  </si>
  <si>
    <t>Community interventions</t>
  </si>
  <si>
    <t>SPDO-MHT-P-23-00058</t>
  </si>
  <si>
    <t>Equipping of Renovated General Hospitals</t>
  </si>
  <si>
    <t>SPDO-MHT-P-23-00059</t>
  </si>
  <si>
    <t>Completion of College of Nursing &amp; Midwifery</t>
  </si>
  <si>
    <t>SPDO-MHT-P-23-00060</t>
  </si>
  <si>
    <t>Provision for State Council on Health Programme in the State</t>
  </si>
  <si>
    <t>SPDO-MHT-P-23-00061</t>
  </si>
  <si>
    <t>Conduct of Partners Forum Meeting &amp; Other TWGs Meetings</t>
  </si>
  <si>
    <t>SPDO-MHT-P-23-00062</t>
  </si>
  <si>
    <t>Hospital Labs and Hospital Theatre Consumables</t>
  </si>
  <si>
    <t>SPDO-MHT-P-23-00063</t>
  </si>
  <si>
    <t>Provision for Covid - 19 Response</t>
  </si>
  <si>
    <t>SPDO-MHT-P-23-00064</t>
  </si>
  <si>
    <t>Renovation of First Referral Hospital in the State</t>
  </si>
  <si>
    <t>SPDO-MHT-P-23-00065</t>
  </si>
  <si>
    <t>Procurement of 3No. Mobile Clinic</t>
  </si>
  <si>
    <t>SPDO-MHT-P-23-00066</t>
  </si>
  <si>
    <t>Construction of Specialist Hospital at Wukari Town</t>
  </si>
  <si>
    <t>SPDO-MHT-P-23-00067</t>
  </si>
  <si>
    <t>Renovation of Central Medical Store</t>
  </si>
  <si>
    <t>Suport to hard to reach area project community</t>
  </si>
  <si>
    <t>WHO Health Project</t>
  </si>
  <si>
    <t xml:space="preserve">Contruction of TSCHIA </t>
  </si>
  <si>
    <t>Skill Acquisition Centre in College of Nursing Jalingo</t>
  </si>
  <si>
    <t>No Poverty</t>
  </si>
  <si>
    <t>CBT Centre College of Health Technology Takum</t>
  </si>
  <si>
    <t xml:space="preserve">Counter part fund for S Map T Blind </t>
  </si>
  <si>
    <t>SPDO-MHE-P-23-00036</t>
  </si>
  <si>
    <t>Feasibility Study, Documentation, Tourism Master Plan</t>
  </si>
  <si>
    <t>Ministry of Heritage &amp; Eco-Tourism</t>
  </si>
  <si>
    <t>Societal Re-orientation - General</t>
  </si>
  <si>
    <t>SPDO-MHE-P-23-00037</t>
  </si>
  <si>
    <t>Renovation of Mambilla Motel, Gembu</t>
  </si>
  <si>
    <t>SPDO-MHE-P-23-00038</t>
  </si>
  <si>
    <t>Promotional Material for State Tourism Board</t>
  </si>
  <si>
    <t>SPDO-MHE-P-23-00039</t>
  </si>
  <si>
    <t>Tour Packaging in the State</t>
  </si>
  <si>
    <t>SPDO-MHE-P-23-00040</t>
  </si>
  <si>
    <t>Furnishing of Museum Gallery in the State</t>
  </si>
  <si>
    <t>SPDO-MIR-P-23-00001</t>
  </si>
  <si>
    <t>Procurement of Heideberg SM 74 (A2 Size) 5 Color Machine with Larker Unit for GPP</t>
  </si>
  <si>
    <t>Ministry of Information and Re-Orientation</t>
  </si>
  <si>
    <t>Information Communication and Technology - General</t>
  </si>
  <si>
    <t>SPDO-MIR-P-23-00002</t>
  </si>
  <si>
    <t>Procurement of Polar Cutting Machine (115) for GPP</t>
  </si>
  <si>
    <t>Ministry of Information &amp; Re - Orientation</t>
  </si>
  <si>
    <t>SPDO-MIR-P-23-00003</t>
  </si>
  <si>
    <t>Procurement of MOZ 2 Color Machine for GPP</t>
  </si>
  <si>
    <t>SPDO-MIR-P-23-00004</t>
  </si>
  <si>
    <t>Procurement of Folding Machine (A1 Size) for GPP</t>
  </si>
  <si>
    <t>SPDO-MIR-P-23-00005</t>
  </si>
  <si>
    <t>Purchase of Industrial Laminating Machine for GPP</t>
  </si>
  <si>
    <t>SPDO-MIR-P-23-00006</t>
  </si>
  <si>
    <t>Procurement of Baby Pony Binding Machine for GPP</t>
  </si>
  <si>
    <t>SPDO-MIR-P-23-00007</t>
  </si>
  <si>
    <t>Purchase of Sttiching Machine for GPP</t>
  </si>
  <si>
    <t>SPDO-MIR-P-23-00008</t>
  </si>
  <si>
    <t>Procurement of Direct Imaging Machine Printing Machine for GPP</t>
  </si>
  <si>
    <t>SPDO-MIR-P-23-00009</t>
  </si>
  <si>
    <t>Graphics Design Workstation for GPP</t>
  </si>
  <si>
    <t>SPDO-MIR-P-23-00010</t>
  </si>
  <si>
    <t>8 HD Camerars for TTV</t>
  </si>
  <si>
    <t>SPDO-MIR-P-23-00011</t>
  </si>
  <si>
    <t>Lighting Equipment for TTV</t>
  </si>
  <si>
    <t>SPDO-MIR-P-23-00012</t>
  </si>
  <si>
    <t>Video Mixer for TTV</t>
  </si>
  <si>
    <t>SPDO-MIR-P-23-00013</t>
  </si>
  <si>
    <t>10 Audio Microphones for TTV</t>
  </si>
  <si>
    <t>SPDO-MIR-P-23-00014</t>
  </si>
  <si>
    <t>Audio Mixer for TTV</t>
  </si>
  <si>
    <t>SPDO-MIR-P-23-00015</t>
  </si>
  <si>
    <t xml:space="preserve">2 Video Matrix Display Wall (20fit x 10ft) for TTV </t>
  </si>
  <si>
    <t>SPDO-MIR-P-23-00016</t>
  </si>
  <si>
    <t xml:space="preserve">3 Recording Studio Setup for TTV </t>
  </si>
  <si>
    <t>SPDO-MIR-P-23-00017</t>
  </si>
  <si>
    <t>News Desk Remodel for TTV</t>
  </si>
  <si>
    <t>SPDO-MIR-P-23-00018</t>
  </si>
  <si>
    <t>OB Van with Internet Sitelite Connectivity for TTV</t>
  </si>
  <si>
    <t>SPDO-MIR-P-23-00019</t>
  </si>
  <si>
    <t xml:space="preserve">Outdoor Camerars for TTV </t>
  </si>
  <si>
    <t>SPDO-MIR-P-23-00020</t>
  </si>
  <si>
    <t>4 Wireless Microphones for TTV</t>
  </si>
  <si>
    <t>SPDO-MIR-P-23-00021</t>
  </si>
  <si>
    <t>Live Studio Setup for TSBS</t>
  </si>
  <si>
    <t>SPDO-MIR-P-23-00022</t>
  </si>
  <si>
    <t xml:space="preserve">2 Recording Studio Setup for TSBS </t>
  </si>
  <si>
    <t>SPDO-MIR-P-23-00023</t>
  </si>
  <si>
    <t>4 Studio Camerars for Streaming in TSBS</t>
  </si>
  <si>
    <t>SPDO-MIR-P-23-00024</t>
  </si>
  <si>
    <t>3 Audio Mixers for TSBS</t>
  </si>
  <si>
    <t>SPDO-MIR-P-23-00025</t>
  </si>
  <si>
    <t>10 Microphone for TSBS</t>
  </si>
  <si>
    <t>SPDO-MIR-P-23-00026</t>
  </si>
  <si>
    <t xml:space="preserve">Purchase of 20No. Laptops/Desk Stop Computer and Accessories </t>
  </si>
  <si>
    <t>SPDO-MSS-P-23-00001</t>
  </si>
  <si>
    <t>Stockpilling of Relief Materials</t>
  </si>
  <si>
    <t>Humanitarian Assistance to Disaster Victims</t>
  </si>
  <si>
    <t xml:space="preserve">All LGA's </t>
  </si>
  <si>
    <t>Ministry of Special Duties &amp; Social Services</t>
  </si>
  <si>
    <t>SPDO-MSS-P-23-00002</t>
  </si>
  <si>
    <t>Coordination of Disasters</t>
  </si>
  <si>
    <t>Security, Peace, and Unity</t>
  </si>
  <si>
    <t>SPDO-MSS-P-23-00003</t>
  </si>
  <si>
    <t>Rehabilitation and Inclusion of Persons with Disabilities</t>
  </si>
  <si>
    <t>Reduced Inequality</t>
  </si>
  <si>
    <t>SPDO-MSS-P-23-00004</t>
  </si>
  <si>
    <t>Disaster Management in the State</t>
  </si>
  <si>
    <t>SPDO-MSS-P-23-00005</t>
  </si>
  <si>
    <t>Provision for the Less Privilege and Vulnerable People in the State</t>
  </si>
  <si>
    <t>SPDO-MSS-P-23-00006</t>
  </si>
  <si>
    <t>Provision for Social Integration &amp; Community Development</t>
  </si>
  <si>
    <t>SPDO-MSS-P-23-00007</t>
  </si>
  <si>
    <t>Provilsion for Partnership with Non Governmental Organization &amp; Stakeholders</t>
  </si>
  <si>
    <t>Partnerships for the Goals</t>
  </si>
  <si>
    <t>SPDO-MSS-P-23-00008</t>
  </si>
  <si>
    <t>Assistance to Fire Disaster Victims in the State</t>
  </si>
  <si>
    <t>SPDO-MSS-P-23-00009</t>
  </si>
  <si>
    <t>Formation of Peace &amp; Reconciliation in Communities in the State</t>
  </si>
  <si>
    <t>SPDO-MTR-P-23-00002</t>
  </si>
  <si>
    <t>Purchase and Installation of Navigation Aids</t>
  </si>
  <si>
    <t>Ministry of Transportation Development</t>
  </si>
  <si>
    <t>Airways - General</t>
  </si>
  <si>
    <t>SPDO-MTR-P-23-00003</t>
  </si>
  <si>
    <t>Expansion and Upgrading of Taraba State Airport in Jalingo</t>
  </si>
  <si>
    <t>SPDO-MTR-P-23-00004</t>
  </si>
  <si>
    <t>Construction of Terminal Buuilding/Calibration of VOR</t>
  </si>
  <si>
    <t>SPDO-MTR-P-23-00005</t>
  </si>
  <si>
    <t>Implementation of Taraba State Road Traffic and Motorcycle Agency</t>
  </si>
  <si>
    <t>SPDO-MTR-P-23-00006</t>
  </si>
  <si>
    <t>Provision for Perimeter and Erosion Control</t>
  </si>
  <si>
    <t>SPDO-MTR-P-23-00007</t>
  </si>
  <si>
    <t>Construction of Trailers Park</t>
  </si>
  <si>
    <t>SPDO-MTR-P-23-00008</t>
  </si>
  <si>
    <t>Purchase of Flying Board/Life Jacket</t>
  </si>
  <si>
    <t>SPDO-MTR-P-23-00009</t>
  </si>
  <si>
    <t>Design and Construction of Taraba State Driving School</t>
  </si>
  <si>
    <t>SPDO-MTR-P-23-00010</t>
  </si>
  <si>
    <t>Construction of Office Accommodation</t>
  </si>
  <si>
    <t>Road General</t>
  </si>
  <si>
    <t>SPDO-MWM-P-23-00008</t>
  </si>
  <si>
    <t>Purchase of 80No. of 1000Litres of Household Waste Bin</t>
  </si>
  <si>
    <t>Ministry of Waste Management and Innovation</t>
  </si>
  <si>
    <t>Clean water and Sanitation</t>
  </si>
  <si>
    <t>Environmental Improvement - General</t>
  </si>
  <si>
    <t>SPDO-MRU-P-23-00074</t>
  </si>
  <si>
    <t>Public Awareness on Sanitation and Personal Hygiene</t>
  </si>
  <si>
    <t>Urban development</t>
  </si>
  <si>
    <t>Ministry of Rural &amp; Urban Development</t>
  </si>
  <si>
    <t>Sustainable cities &amp; Communities</t>
  </si>
  <si>
    <t>Housing and Urban Development - General</t>
  </si>
  <si>
    <t>SPDO-MRU-P-23-00075</t>
  </si>
  <si>
    <t>Provision Urban Renewal Programme</t>
  </si>
  <si>
    <t>SPDO-MRU-P-23-00076</t>
  </si>
  <si>
    <t>Construction of Jalingo ArdoKola RD (18KM)</t>
  </si>
  <si>
    <t>Rural road construction</t>
  </si>
  <si>
    <t>Jalingo, Ardo-Kola</t>
  </si>
  <si>
    <t>SPDO-MRU-P-23-00077</t>
  </si>
  <si>
    <t>Bobboji drainage Storm Water II</t>
  </si>
  <si>
    <t>Good Health and Well-being</t>
  </si>
  <si>
    <t>SPDO-MRU-P-23-00078</t>
  </si>
  <si>
    <t>Construction of Roads in the Rural Communities of all LGAs in the State</t>
  </si>
  <si>
    <t>SPDO-MRU-P-23-00079</t>
  </si>
  <si>
    <t>Construction and Maitainance of Township Roads</t>
  </si>
  <si>
    <t>SPDO-MRU-P-23-00080</t>
  </si>
  <si>
    <t>Street Naming and House Numbering</t>
  </si>
  <si>
    <t>SPDO-MRU-P-23-00081</t>
  </si>
  <si>
    <t>Construction of Roundabout</t>
  </si>
  <si>
    <t>SPDO-MRU-P-23-00082</t>
  </si>
  <si>
    <t>Construction of Roads in New Government Layouts</t>
  </si>
  <si>
    <t>SPDO-MRU-P-23-00083</t>
  </si>
  <si>
    <t>Extension of Electricity from Lissam - Rufu Town</t>
  </si>
  <si>
    <t>SPDO-MRU-P-23-00084</t>
  </si>
  <si>
    <t>Solar Street Light in Vakude, Kara, Mbar, Clona &amp; Song Bariki in Sardauna L.G.A</t>
  </si>
  <si>
    <t>SPDO-MRU-P-23-00085</t>
  </si>
  <si>
    <t>Solar Street Light in Titong, Lakitoba, Mbaso, Lame Tella, Gembu, Mayo-Ndaga &amp; Kon-Iyaka</t>
  </si>
  <si>
    <t>SPDO-MRU-P-23-00086</t>
  </si>
  <si>
    <t>Feeder Road from Gembu-Mbela to Dorofi Mbela-Kara to Song Bariki Vakude-Dorofi</t>
  </si>
  <si>
    <t>SPDO-MRU-P-23-00087</t>
  </si>
  <si>
    <t xml:space="preserve">Feeder Road 13KM from Lekitaba-Ngubiri to Mbeso Road &amp; from Gembu Science School to Lome fuel 7KM Road </t>
  </si>
  <si>
    <t>SPDO-MRU-P-23-00088</t>
  </si>
  <si>
    <t>10 Lock-up Shops at Kan-Iyaka, Nyamban, Kuma and Lame Bora</t>
  </si>
  <si>
    <t>SPDO-MRU-P-23-00089</t>
  </si>
  <si>
    <t>Construction of Feeder Road from Local Government Secretariat to Sabon Layi to GSS Bali</t>
  </si>
  <si>
    <t>SPDO-MRU-P-23-00090</t>
  </si>
  <si>
    <t>Construction of Feeder Road &amp; Culvert Yelwan Abbare Road Jalingo</t>
  </si>
  <si>
    <t>SPDO-MRU-P-23-00091</t>
  </si>
  <si>
    <t xml:space="preserve">Drilling of Ten (10) Borehole in Ten (10) Wards of Ardo Kola </t>
  </si>
  <si>
    <t>Ardo Kola</t>
  </si>
  <si>
    <t>SPDO-MRU-P-23-00092</t>
  </si>
  <si>
    <t>Construction of PHC in Tau, Iware, Ranti &amp; Ardo Kola Ward Basa</t>
  </si>
  <si>
    <t>SPDO-MRU-P-23-00093</t>
  </si>
  <si>
    <t xml:space="preserve">Construction of 12Km Feeder Road from Misheli-Buding Lau </t>
  </si>
  <si>
    <t>SPDO-MRU-P-23-00094</t>
  </si>
  <si>
    <t>Construction of Feeder Road from Government Lodge to Bonke Bali</t>
  </si>
  <si>
    <t>SPDO-MWA-P-23-00003</t>
  </si>
  <si>
    <t>Purchase of 3 Inches Water Pumps for 2024 Irrigation Activities</t>
  </si>
  <si>
    <t>Ministry of Water Management &amp; Aquatic Affairs</t>
  </si>
  <si>
    <t>Water Resources and Rural Development</t>
  </si>
  <si>
    <t>SPDO-MWA-P-23-00004</t>
  </si>
  <si>
    <t>P-Wash Matching Ground in Jalingo</t>
  </si>
  <si>
    <t>SPDO-MWA-P-23-00005</t>
  </si>
  <si>
    <t>Upgrading of Ibi, Wukari Water Works</t>
  </si>
  <si>
    <t>Ibi, Wukari</t>
  </si>
  <si>
    <t>SPDO-MWA-P-23-00006</t>
  </si>
  <si>
    <t>Extension of Pipelines &amp; Construction of Concrete Tanks for Water Supply Emergence Communities</t>
  </si>
  <si>
    <t>SPDO-MWA-P-23-00007</t>
  </si>
  <si>
    <t xml:space="preserve">Provision of WASH Facilities in some Selected Communities in the State </t>
  </si>
  <si>
    <t>Sardauna, Bali, Jalingo, Takum, K/Lamido, Wukari and Zing</t>
  </si>
  <si>
    <t>SPDO-MWA-P-23-00008</t>
  </si>
  <si>
    <t>Spring &amp; Stream Development at Tamya</t>
  </si>
  <si>
    <t>SPDO-MWA-P-23-00009</t>
  </si>
  <si>
    <t>Procurement of New Geo-Physical Equipment for Survey</t>
  </si>
  <si>
    <t>SPDO-MWA-P-23-00010</t>
  </si>
  <si>
    <t>Rehabilitation of Irrigation Scheme Nukkai and Gindin Dorowa</t>
  </si>
  <si>
    <t>SPDO-MWA-P-23-00011</t>
  </si>
  <si>
    <t>Rehabilitation of Spring Water Schemes at Gwomu, Sakaka, Fikyu, Ndukpe, Mbamnga</t>
  </si>
  <si>
    <t>Rehabilitation of Spring Water Schemes at Gwomu, Sakaka, Fikyu, Ndukpe</t>
  </si>
  <si>
    <t>Karim Lamido, Kurmi, Sardauna</t>
  </si>
  <si>
    <t>SPDO-MWA-P-23-00012</t>
  </si>
  <si>
    <t>Constr.and Equipping of Laboratory for  Small Towns Water Supply Agency</t>
  </si>
  <si>
    <t>SPDO-MWA-P-23-00013</t>
  </si>
  <si>
    <t>SPDO-MWA-P-23-00014</t>
  </si>
  <si>
    <t>Rehabilitation &amp; Expan. of Water Supply Schemes -Fikyu, Bantaje, Serti, Jen &amp; Baissa</t>
  </si>
  <si>
    <t>Kurmi, Wukari, Sardauna, Karim Lamido</t>
  </si>
  <si>
    <t>SPDO-MWA-P-23-00015</t>
  </si>
  <si>
    <t>Construction of 1No. Water Quality Control Reference Laboratory with Office</t>
  </si>
  <si>
    <t>SPDO-MWA-P-23-00016</t>
  </si>
  <si>
    <t>Raising/Fortification of Perimeter Fence at the Ministry HQtrs</t>
  </si>
  <si>
    <t>SPDO-MWA-P-23-00017</t>
  </si>
  <si>
    <t>Purchase of Hygien and Sanitation Equipment in the State</t>
  </si>
  <si>
    <t>SPDO-MWA-P-23-00018</t>
  </si>
  <si>
    <t>Construction of 1870M Drainage from Karofi Water Works to COA</t>
  </si>
  <si>
    <t>SPDO-MWA-P-23-00019</t>
  </si>
  <si>
    <t>Rehabilitation of Lau, Donga, Pantisawa and K/Lamido Water Supply Scheme</t>
  </si>
  <si>
    <t>Lau, Donga, Yorro, Karim Lamido</t>
  </si>
  <si>
    <t>SPDO-MWA-P-23-00020</t>
  </si>
  <si>
    <t>Drilling &amp; Installation of149No. Handpump Fitted Boreholes in 16 LGAs</t>
  </si>
  <si>
    <t>SPDO-MWA-P-23-00021</t>
  </si>
  <si>
    <t>Purchase of 1No. Rigs/Accessories</t>
  </si>
  <si>
    <t>SPDO-MWA-P-23-00022</t>
  </si>
  <si>
    <t>Rehabilitation of Water Supply System in Bali and Gembu</t>
  </si>
  <si>
    <t>Bali, Sardauna</t>
  </si>
  <si>
    <t>SPDO-MWA-P-23-00023</t>
  </si>
  <si>
    <t xml:space="preserve">Establishment of Water Facilities Database  </t>
  </si>
  <si>
    <t>SPDO-MCT-P-23-00015</t>
  </si>
  <si>
    <t>Support &amp; Enhancement of Commodity Association</t>
  </si>
  <si>
    <t>SPDO-MEC-P-23-00005</t>
  </si>
  <si>
    <t>Const. &amp; Equiping of Environmental Reference Lab.</t>
  </si>
  <si>
    <t>Ministry of Environmental and Climate Change</t>
  </si>
  <si>
    <t xml:space="preserve"> Economic and Job Creation</t>
  </si>
  <si>
    <t>Climate Action</t>
  </si>
  <si>
    <t>SPDO-MEC-P-23-00006</t>
  </si>
  <si>
    <t>Subvention to Ngel Nyaki Mountain Resort</t>
  </si>
  <si>
    <t>SPDO-MEC-P-23-00007</t>
  </si>
  <si>
    <t>Control &amp; Management of Marauding Animals</t>
  </si>
  <si>
    <t>Gashaka</t>
  </si>
  <si>
    <t>SPDO-MEC-P-23-00008</t>
  </si>
  <si>
    <t>Aforestation &amp; Re - Aforestation Scheme/Jathropha Plantation</t>
  </si>
  <si>
    <t>SPDO-MEC-P-23-00009</t>
  </si>
  <si>
    <t>Forest &amp; Game Reserve Monitoring/Promotion</t>
  </si>
  <si>
    <t>SPDO-MEC-P-23-00010</t>
  </si>
  <si>
    <t>Conduct of Soil Survey for Baseline Data/Solution in Jalingo, Yorro, Sardauna, Bali, Takum &amp; Ibi LGAs</t>
  </si>
  <si>
    <t>Jalingo, Yorro, Sardauna, Bali, Takum, Ibi</t>
  </si>
  <si>
    <t>SPDO-MEC-P-23-00011</t>
  </si>
  <si>
    <t>Provision for the Planting of Grasses, Omamental Plants &amp; Flowers in Jalingo</t>
  </si>
  <si>
    <t>SPDO-MEC-P-23-00012</t>
  </si>
  <si>
    <t>Establishment of Environmental Clubs in GSS Zing, GDSS M/Biyu and GSSS Donga</t>
  </si>
  <si>
    <t>Zing, Gassol, Donga</t>
  </si>
  <si>
    <t>SPDO-MEC-P-23-00013</t>
  </si>
  <si>
    <t>Establishment of Weather Station in Jalingo, Bali &amp; Wukari</t>
  </si>
  <si>
    <t>Jalingo, Bali, Wukari</t>
  </si>
  <si>
    <t>SPDO-MEC-P-23-00014</t>
  </si>
  <si>
    <t>Const. &amp; Equiping of Environmental Reference Library</t>
  </si>
  <si>
    <t>SPDO-MEC-P-23-00015</t>
  </si>
  <si>
    <t>Purchase of Chemicals for Cleaning and Fumigation in Jalingo, Wuk and Bali</t>
  </si>
  <si>
    <t>Jalingo, Wukari, Bali</t>
  </si>
  <si>
    <t>SPDO-MEC-P-23-00016</t>
  </si>
  <si>
    <t>Conduct of Environmental Impact Assessment Procedure &amp; Guideline</t>
  </si>
  <si>
    <t>SPDO-MEC-P-23-00017</t>
  </si>
  <si>
    <t>Standardization of Solid Waste Management Protection Development</t>
  </si>
  <si>
    <t>SPDO-MEC-P-23-00018</t>
  </si>
  <si>
    <t xml:space="preserve">Provision for Raising of Seedlings to Control Climate Change and Erosion </t>
  </si>
  <si>
    <t>SPDO-MEC-P-23-00019</t>
  </si>
  <si>
    <t>Establishment &amp; Equipping of a Gas Emission Control Centre in Jalingo</t>
  </si>
  <si>
    <t>SPDO-MEC-P-23-00020</t>
  </si>
  <si>
    <t>Procurement of 3000No. Cooking Stoves &amp; 6kg Cylinder for Climate Change Mitigation</t>
  </si>
  <si>
    <t>SPDO-MEC-P-23-00021</t>
  </si>
  <si>
    <t>Rehabilitation of Nursery &amp; Forest Plantation</t>
  </si>
  <si>
    <t>SPDO-MEC-P-23-00022</t>
  </si>
  <si>
    <t>Establishment of Urban Garden in Jalingo, Zing, Bali &amp; Wukari</t>
  </si>
  <si>
    <t>Jalingo, Zing, Bali, Wukari</t>
  </si>
  <si>
    <t>SPDO-MEC-P-23-00023</t>
  </si>
  <si>
    <t>Climate Change Mitigation</t>
  </si>
  <si>
    <t>SPDO-MEC-P-23-00024</t>
  </si>
  <si>
    <t>Resurvey and Beaconing of Baissa, Abong and Bantaje Forest Reserve</t>
  </si>
  <si>
    <t xml:space="preserve">Kurmi, Wukari </t>
  </si>
  <si>
    <t>SPDO-MEC-P-23-00025</t>
  </si>
  <si>
    <t>Provision for 7No. ICT Equipment</t>
  </si>
  <si>
    <t>To provide computers to staff for office use</t>
  </si>
  <si>
    <t>SPDO-MEC-P-23-00026</t>
  </si>
  <si>
    <t>Provision for Mitigation of Deforestation Activities in the State</t>
  </si>
  <si>
    <t>SPDO-MEC-P-23-00027</t>
  </si>
  <si>
    <t>Coordination of Green Wall Project activities in the State</t>
  </si>
  <si>
    <t>SPDO-MEC-P-23-00028</t>
  </si>
  <si>
    <t>Coordination of ACReSAL Project activites in the State</t>
  </si>
  <si>
    <t>SPDO-MFB-P-23-00001</t>
  </si>
  <si>
    <t>Purchase of 100No. Assorted Official Vehicles</t>
  </si>
  <si>
    <t>Ministry of Finance, Budget &amp; Economic Planning</t>
  </si>
  <si>
    <t>SPDO-MFB-P-23-00002</t>
  </si>
  <si>
    <t>Purchase of Office Stationeries &amp; Equipment for State MDAs</t>
  </si>
  <si>
    <t>SPDO-MFB-P-23-00003</t>
  </si>
  <si>
    <t>Capital Grants to Government Owned Companies</t>
  </si>
  <si>
    <t>SPDO-MFB-P-23-00004</t>
  </si>
  <si>
    <t>Renovation and Remodelling of the Ministry of Finance, Budget and Economic Planning</t>
  </si>
  <si>
    <t>SPDO-MFB-P-23-00005</t>
  </si>
  <si>
    <t>Construction of 3No. Sub-Treasuries (One Each) in Bali, Zing &amp; K/Lamido</t>
  </si>
  <si>
    <t>Bali, Zing &amp; K/Lamido</t>
  </si>
  <si>
    <t>SPDO-MFB-P-23-00006</t>
  </si>
  <si>
    <t>Renovation of 3No. Sub-Treasuries (One Each) in Takum, Wukari &amp; Gembu</t>
  </si>
  <si>
    <t>Takum, Wukari, Sarduna</t>
  </si>
  <si>
    <t>SPDO-MFB-P-23-00007</t>
  </si>
  <si>
    <t>Drilling of 1No. Motorise Borehole at the Ministry of Finance, Budget &amp; Planning</t>
  </si>
  <si>
    <t>SPDO-MFB-P-23-00008</t>
  </si>
  <si>
    <t>Installation of CCTV Camera in the Ministry of Finance, Budget &amp; Planning</t>
  </si>
  <si>
    <t>SPDO-MFB-P-23-00009</t>
  </si>
  <si>
    <t>Five Fingers Agenda Coordination &amp; Appraisal</t>
  </si>
  <si>
    <t>SPDO-MFB-P-23-00010</t>
  </si>
  <si>
    <t>Provision for Base Line Survey on Sustainable Development Goals</t>
  </si>
  <si>
    <t>SPDO-MFB-P-23-00011</t>
  </si>
  <si>
    <t>Monitoring and Evaluation of State Government Projects</t>
  </si>
  <si>
    <t>SPDO-MFB-P-23-00012</t>
  </si>
  <si>
    <t xml:space="preserve">Provision for the Establishment of State Single Register (SSR) </t>
  </si>
  <si>
    <t>Data and data management</t>
  </si>
  <si>
    <t>SPDO-MFB-P-23-00013</t>
  </si>
  <si>
    <t xml:space="preserve">Provision for Data Collection in the State (State Data Base Programme) </t>
  </si>
  <si>
    <t>Economic Growth</t>
  </si>
  <si>
    <t>SPDO-MFB-P-23-00014</t>
  </si>
  <si>
    <t>Coordinating State Nutrition Activities</t>
  </si>
  <si>
    <t xml:space="preserve">Sustainable drug supply </t>
  </si>
  <si>
    <t>SPDO-MFB-P-23-00015</t>
  </si>
  <si>
    <t>Provision for State Social Policy Development Plan</t>
  </si>
  <si>
    <t>SPDO-MFB-P-23-00016</t>
  </si>
  <si>
    <t>Provision for Child Friendly Community Initiatives (CFCI) Programme in the State</t>
  </si>
  <si>
    <t>SPDO-MFB-P-23-00017</t>
  </si>
  <si>
    <t xml:space="preserve">Construction of 1No. Office at the State Secretariat Complex </t>
  </si>
  <si>
    <t>SPDO-MFB-P-23-00018</t>
  </si>
  <si>
    <t>Provisoon for Fund to Support Civil Society Organization (CSOs)</t>
  </si>
  <si>
    <t>SPDO-MFB-P-23-00019</t>
  </si>
  <si>
    <t>Sustainable Development Goals (SDGs) Projects</t>
  </si>
  <si>
    <t>SPDO-MFB-P-23-00020</t>
  </si>
  <si>
    <t>Open Government Partnership (OGP) Project</t>
  </si>
  <si>
    <t>SPDO-MFB-P-23-00021</t>
  </si>
  <si>
    <t>NG CARES Projects (Draw Down from IDA)</t>
  </si>
  <si>
    <t>SPDO-MFB-P-23-00022</t>
  </si>
  <si>
    <t>Coodination of SABER (World Bank Assisted) Programme Activities in the State</t>
  </si>
  <si>
    <t>30/04/2024</t>
  </si>
  <si>
    <t>SPDO-MJT-P-23-00001</t>
  </si>
  <si>
    <t>Construction of 1No. Office Complex and Furniture in Jalingo</t>
  </si>
  <si>
    <t>Construction of the Ministry Headquarters</t>
  </si>
  <si>
    <t>Ministry of Justice</t>
  </si>
  <si>
    <t>SPDO-MJT-P-23-00002</t>
  </si>
  <si>
    <t>Purchase of Law Books &amp; Journals</t>
  </si>
  <si>
    <t>Libraries and laboratories</t>
  </si>
  <si>
    <t>SPDO-MJT-P-23-00003</t>
  </si>
  <si>
    <t>Establishment of Multi - Door Court</t>
  </si>
  <si>
    <t>SPDO-MJT-P-23-00004</t>
  </si>
  <si>
    <t>Sattlement of outstanding Judgement Debt</t>
  </si>
  <si>
    <t>SPDO-MJT-P-23-00005</t>
  </si>
  <si>
    <t>Witness Support Fund</t>
  </si>
  <si>
    <t>SPDO-MWC-P-23-00006</t>
  </si>
  <si>
    <t>Nigeria for Women Activities</t>
  </si>
  <si>
    <t>Ministry of Women Affairs and Child Development</t>
  </si>
  <si>
    <t>30/06/2024</t>
  </si>
  <si>
    <t>Societal Re-orientation (General)</t>
  </si>
  <si>
    <t>SPDO-MED-P-23-00001</t>
  </si>
  <si>
    <t>Renovation Of 5 Blocks Of 3 Classrooms And Construction Of 2 Set Upstairs</t>
  </si>
  <si>
    <t>31/03/2024</t>
  </si>
  <si>
    <t>SPDO-MED-P-23-00002</t>
  </si>
  <si>
    <t>Renovation of temporary site of Government Comprehensive Secondary School ( Student Exchange) at Federal Science and Technical College, Jalingo (FSTC)</t>
  </si>
  <si>
    <t xml:space="preserve">Renovation of some facilities such as Students and Staff Furnitures, Students Accommodation, Replacement of doors, windows and toilet facilities. </t>
  </si>
  <si>
    <t>30/09/2023</t>
  </si>
  <si>
    <t>SPDO-MED-P-23-00003</t>
  </si>
  <si>
    <t>State Contribution for Development Partners</t>
  </si>
  <si>
    <t>SPDO-MED-P-23-00004</t>
  </si>
  <si>
    <t>Payment of WAEC and NECO Examination Fees for JSS 3 and SSS 3 Students in the State</t>
  </si>
  <si>
    <t>To relief parents  the burden of the cost of  their wards external examinations</t>
  </si>
  <si>
    <t>30/06/2023</t>
  </si>
  <si>
    <t>SPDO-MED-P-23-00005</t>
  </si>
  <si>
    <t xml:space="preserve">Perimeter Fencing in 30No. Secondary Schools in the 3-Senatorial District in the State </t>
  </si>
  <si>
    <t>Zones</t>
  </si>
  <si>
    <t>SPDO-MED-P-23-00006</t>
  </si>
  <si>
    <t>Remodelling of Ebenezer Primary School, Wukari</t>
  </si>
  <si>
    <t>Remodeling of Ebenezer primary school, Wukari</t>
  </si>
  <si>
    <t>SPDO-MED-P-23-00015</t>
  </si>
  <si>
    <t>Constructing of Parameter Fence of Government Secondary School, Wukari</t>
  </si>
  <si>
    <t>SPDO-MED-P-23-00017</t>
  </si>
  <si>
    <t>Procurement of Instructural Materials</t>
  </si>
  <si>
    <t>Procurement of equipment &amp; instructional materials for all primary and secondary Schools.</t>
  </si>
  <si>
    <t>SPDO-MED-P-23-00018</t>
  </si>
  <si>
    <t>Construction of 7No. Workshop Centres in 7No. Technical Schools (Zing, K/Lamido, Sardauna, Takum, Wukari, Jalingo &amp; Bali LGAs)</t>
  </si>
  <si>
    <t>Equipping 7No. Technical/Vocational Schools (Gembu, Bali, Jalingo, Takum, K/Lamido, Wukari and Zing)</t>
  </si>
  <si>
    <t>Zing, Bali, Karim Lamido, Sardauna, Wukari, Jalingo, Takum</t>
  </si>
  <si>
    <t>SPDO-MEC-P-23-00001</t>
  </si>
  <si>
    <t>Zoological Garden Renovation</t>
  </si>
  <si>
    <t>Ardo-kola;Jalingo;</t>
  </si>
  <si>
    <t>Yes</t>
  </si>
  <si>
    <t xml:space="preserve">Recreation will attract participants that will be paying </t>
  </si>
  <si>
    <t>SPDO-MEC-P-23-00002</t>
  </si>
  <si>
    <t>Rehabilitation of Divisional Forestry Offices</t>
  </si>
  <si>
    <t>All LGAs;</t>
  </si>
  <si>
    <t>SPDO-MEC-P-23-00003</t>
  </si>
  <si>
    <t>Construction of 1No. Block of Climate Change Department Office</t>
  </si>
  <si>
    <t>Not started</t>
  </si>
  <si>
    <t>SPDO-MEC-P-23-00004</t>
  </si>
  <si>
    <t>Renovation of Taraba Environmental Protection (TEPA) Office at Jalingo</t>
  </si>
  <si>
    <t>SPDO-MHT-P-23-00002</t>
  </si>
  <si>
    <t>Quality Assurance for Life Services</t>
  </si>
  <si>
    <t>Monitoring and Supervision for quality services</t>
  </si>
  <si>
    <t>SPDO-MHT-P-23-00003</t>
  </si>
  <si>
    <t>Sexually Abused Referral Centre</t>
  </si>
  <si>
    <t>Establishment of Center for treatment of Sexually Abuse persons</t>
  </si>
  <si>
    <t>SPDO-MHT-P-23-00004</t>
  </si>
  <si>
    <t>National Health Information System</t>
  </si>
  <si>
    <t>Improvement of Information and Data Gadgets</t>
  </si>
  <si>
    <t>Routine information system</t>
  </si>
  <si>
    <t>SPDO-MHT-P-23-00005</t>
  </si>
  <si>
    <t>Solar Panel Housing in 4 General Hospitals</t>
  </si>
  <si>
    <t>Solar Panel Housing in Four (4) General Hospitals</t>
  </si>
  <si>
    <t>Wukari, Takum, Sardauna, Karim Lamido</t>
  </si>
  <si>
    <t>SPDO-MHT-P-23-00007</t>
  </si>
  <si>
    <t>Maternal and Parental Death Surveilance and Response (NPDSR)</t>
  </si>
  <si>
    <t>SPDO-MHT-P-23-00008</t>
  </si>
  <si>
    <t>Provision of Solar Powered Boreholes in 15 GH/CH</t>
  </si>
  <si>
    <t>SPDO-MHT-P-23-00009</t>
  </si>
  <si>
    <t>Upgrade of Laboratory, Pharmacy &amp; Theatre in 15No. GH/CH</t>
  </si>
  <si>
    <t>Upgrading Laboratory, Pharmacy and Theatre of 15 General Hospital and First Referral Hospital</t>
  </si>
  <si>
    <t>SPDO-MHT-P-23-00010</t>
  </si>
  <si>
    <t>Logistic Management Commodity Unit (LMCU) (C-19)</t>
  </si>
  <si>
    <t>Management of Commodities Logistics</t>
  </si>
  <si>
    <t>SPDO-MHT-P-23-00012</t>
  </si>
  <si>
    <t>State Strategic Health Development Plan</t>
  </si>
  <si>
    <t>Development of state health strategic plan III</t>
  </si>
  <si>
    <t>SPDO-MHT-P-23-00013</t>
  </si>
  <si>
    <t>Blood Bank/Blood Transfusion Services</t>
  </si>
  <si>
    <t>Blood bank servece an laboratory</t>
  </si>
  <si>
    <t>SPDO-MHT-P-23-00014</t>
  </si>
  <si>
    <t>Laboratory Quality Management System (QMS) Implementation (Lab)</t>
  </si>
  <si>
    <t>Medical Laboratory quality management system</t>
  </si>
  <si>
    <t>SPDO-MHT-P-23-00015</t>
  </si>
  <si>
    <t>Scale Up TB Control Programme to all Health Facilities</t>
  </si>
  <si>
    <t>Testing and treatment of tuberclosis</t>
  </si>
  <si>
    <t>SPDO-MHT-P-23-00016</t>
  </si>
  <si>
    <t>Diseases Surveilance and Response (C-19)</t>
  </si>
  <si>
    <t>Surveillance reporting and treatment of disease outbreak</t>
  </si>
  <si>
    <t>SPDO-MHT-P-23-00017</t>
  </si>
  <si>
    <t>Onchocerciasis and blindness control</t>
  </si>
  <si>
    <t>Advocacy, treatment and drugs supply of Onchocerciasis and blindness control</t>
  </si>
  <si>
    <t>SPDO-MHT-P-23-00018</t>
  </si>
  <si>
    <t>Procurement of Ambulance to Secondary Health Facilities (C-19)</t>
  </si>
  <si>
    <t>Procurement of Ambulances Vehicles to Secondary health facilicties</t>
  </si>
  <si>
    <t>SPDO-MHT-P-23-00019</t>
  </si>
  <si>
    <t>Purchase of Essential Drugs and Medical Equipment in the State</t>
  </si>
  <si>
    <t>Procurement and Distribution of essential drugs to various health facilities</t>
  </si>
  <si>
    <t>SPDO-MHT-P-23-00022</t>
  </si>
  <si>
    <t>Renovation of General Hospital, Takum</t>
  </si>
  <si>
    <t xml:space="preserve">Renovation and Equipping of General hospital Takum </t>
  </si>
  <si>
    <t>SPDO-MHT-P-23-00024</t>
  </si>
  <si>
    <t>Research and Development for Health Sector Programme in the State</t>
  </si>
  <si>
    <t>SPDO-MHT-P-23-00025</t>
  </si>
  <si>
    <t>Coordination of Nutrition Activities</t>
  </si>
  <si>
    <t>SPDO-MHT-P-23-00029</t>
  </si>
  <si>
    <t xml:space="preserve">Provision for Upgrading of First Referel Hospital Donga to General Hospital </t>
  </si>
  <si>
    <t>SPDO-MHT-P-23-00030</t>
  </si>
  <si>
    <t>Reconstruction of CHC Gindin Waya, Ibi LGA</t>
  </si>
  <si>
    <t>Reconstruction and eqiping of CHC ginding waya</t>
  </si>
  <si>
    <t>Ibi</t>
  </si>
  <si>
    <t>SPDO-MHT-P-23-00031</t>
  </si>
  <si>
    <t>Rehabilitation of Hospitals: Ibi, Baissa</t>
  </si>
  <si>
    <t>Ibi, Kurmi</t>
  </si>
  <si>
    <t>SPDO-MHT-P-23-00033</t>
  </si>
  <si>
    <t>Construction of Staff Qtrs in 3 Referral Hosp. (Pantisawa, Serti &amp; M/Biyu)</t>
  </si>
  <si>
    <t>Yorro, Sardauna, Gassol</t>
  </si>
  <si>
    <t>SPDO-MHT-P-23-00036</t>
  </si>
  <si>
    <t>Completion of First Referral Hospital, Lissam</t>
  </si>
  <si>
    <t>Completion of the construction FRH Lissam</t>
  </si>
  <si>
    <t>SPDO-MHT-P-23-00038</t>
  </si>
  <si>
    <t>Provision of 3No. Mobile Clinic in the State</t>
  </si>
  <si>
    <t>Purchase and equipping of mobile clinic</t>
  </si>
  <si>
    <t>SPDO-MHT-P-23-00039</t>
  </si>
  <si>
    <t>Procurement Hospital Equipmemt and Consumables</t>
  </si>
  <si>
    <t>Supply of medical equipment and consumables for hospitals</t>
  </si>
  <si>
    <t>SPDO-MHT-P-23-00042</t>
  </si>
  <si>
    <t>Renovation of Offices, Provision Equipment and Furniture</t>
  </si>
  <si>
    <t>SPDO-MHT-P-23-00043</t>
  </si>
  <si>
    <t>Constructing &amp; Equipping of Public Health Labs &amp; Epid Unit</t>
  </si>
  <si>
    <t>Construction and equipping public health laboratory</t>
  </si>
  <si>
    <t>SPDO-MHT-P-23-00044</t>
  </si>
  <si>
    <t>Renovation of General Hospital, Gembu</t>
  </si>
  <si>
    <t>Renovation and equiping of General Hospital Gembu</t>
  </si>
  <si>
    <t>SPDO-MHT-P-23-00045</t>
  </si>
  <si>
    <t>Furnishing &amp; Equipping of the College Laboratory</t>
  </si>
  <si>
    <t>SPDO-MHT-P-23-00046</t>
  </si>
  <si>
    <t>Renovation of General Hospital, Bali</t>
  </si>
  <si>
    <t>Renovation and Equiping of General Hospital Bali</t>
  </si>
  <si>
    <t>SPDO-MHT-P-23-00047</t>
  </si>
  <si>
    <t>Renovation of General Hospital, Wukari</t>
  </si>
  <si>
    <t>Renovation and equiping of General Hospital Wukari</t>
  </si>
  <si>
    <t>SPDO-MHT-P-23-00048</t>
  </si>
  <si>
    <t>Karim Lamido</t>
  </si>
  <si>
    <t>SPDO-MHT-P-23-00049</t>
  </si>
  <si>
    <t>Renovation of General Hospital, Zing</t>
  </si>
  <si>
    <t>Renovation and Equiping of General Hospital Zing</t>
  </si>
  <si>
    <t>SPDO-MHT-P-23-00050</t>
  </si>
  <si>
    <t>Renovation &amp; Upgrading of College of Health Technology, Takum</t>
  </si>
  <si>
    <t>SPDO-MHT-P-23-00051</t>
  </si>
  <si>
    <t>Installation of Magnetic Resonate Images in Takum, Wukari, Bambur&amp; Gembu Hopspitals</t>
  </si>
  <si>
    <t>Takum, Wukari, Karim-Lamido, Sardauna</t>
  </si>
  <si>
    <t>SPDO-MHT-P-23-00052</t>
  </si>
  <si>
    <t>Construction of Basic Health Care Clinic at Mambila Estate Kakara, Sardauna LGA</t>
  </si>
  <si>
    <t>SPDO-MHT-P-23-00053</t>
  </si>
  <si>
    <t>Construction of college of Nursing and midwifery Jalingo</t>
  </si>
  <si>
    <t>Construction of college of college of Nursing and midwifery Jalingo</t>
  </si>
  <si>
    <t>Jalingo;</t>
  </si>
  <si>
    <t>Improvement to Human Health</t>
  </si>
  <si>
    <t>SPDO-MHE-P-23-00001</t>
  </si>
  <si>
    <t>National Craft Expo, Abuja</t>
  </si>
  <si>
    <t>A National Program aimed at promoting Cultural Heritage of our Dear state to attract both National and International Investors.</t>
  </si>
  <si>
    <t>FCT Abuja</t>
  </si>
  <si>
    <t>SPDO-MHE-P-23-00003</t>
  </si>
  <si>
    <t>Nwunyo Fishing Festival Development at Ibi LGA</t>
  </si>
  <si>
    <t>A Proposed Project situated at RIVER IBBI for International Fishing festival, to attract Foreign Investors across the Globe.</t>
  </si>
  <si>
    <t>19/4/2023</t>
  </si>
  <si>
    <t>21/04/2023</t>
  </si>
  <si>
    <t>SPDO-MHE-P-23-00004</t>
  </si>
  <si>
    <t>National Festival of Arts &amp; Culture (NAFEST)</t>
  </si>
  <si>
    <t xml:space="preserve">A project Air Marked to showcase the Various Cultures we have in Nigeria. </t>
  </si>
  <si>
    <t>SPDO-MHE-P-23-00005</t>
  </si>
  <si>
    <t>Provision for National Carnival, Abuja FCT</t>
  </si>
  <si>
    <t>A project that Potrays Nigeria as one indivisible Entity, it involves displays of different Cultural background by all tribes  in Nigeria.</t>
  </si>
  <si>
    <t>SPDO-MHE-P-23-00014</t>
  </si>
  <si>
    <t>Modern Multi - Purpose Cultural Centre in Jalingo</t>
  </si>
  <si>
    <t xml:space="preserve">Multipurpose Center for Various Culture in Taraba State. </t>
  </si>
  <si>
    <t xml:space="preserve">Jalingo State Capital </t>
  </si>
  <si>
    <t>SPDO-MCP-P-23-00002</t>
  </si>
  <si>
    <t>Construction of Warehouse</t>
  </si>
  <si>
    <t>Construction of warehouses at the three senatorial zones</t>
  </si>
  <si>
    <t>Wukari, Bali and Zing</t>
  </si>
  <si>
    <t>SPDO-MAG-P-23-00003</t>
  </si>
  <si>
    <t>Soya Beans Production Programme</t>
  </si>
  <si>
    <t>Soya Beans Production Programme (C-19)</t>
  </si>
  <si>
    <t>Boost Internally Generated Revenue through empowerment</t>
  </si>
  <si>
    <t>Climate Change</t>
  </si>
  <si>
    <t>SPDO-MAG-P-23-00008</t>
  </si>
  <si>
    <t xml:space="preserve">Renovation of Green House Project </t>
  </si>
  <si>
    <t>Renovation and expansion</t>
  </si>
  <si>
    <t xml:space="preserve">IGR through sales of vegetables </t>
  </si>
  <si>
    <t>SPDO-MAG-P-23-00015</t>
  </si>
  <si>
    <t>Agro Data Collection for Agricultural Research and Development in the State</t>
  </si>
  <si>
    <t>SPDO-MAG-P-23-00022</t>
  </si>
  <si>
    <t>Purchase of Fishing gears and accessories</t>
  </si>
  <si>
    <t>Fish processing and post-harvest management</t>
  </si>
  <si>
    <t>SPDO-MAG-P-23-00023</t>
  </si>
  <si>
    <t>Campaign against Obnoxious fishing</t>
  </si>
  <si>
    <t>Sensitization against bad fishing method</t>
  </si>
  <si>
    <t>Economic Empowerment</t>
  </si>
  <si>
    <t>SPDO-MAG-P-23-00029</t>
  </si>
  <si>
    <t>Procurement of Tractors and power Tiller</t>
  </si>
  <si>
    <t xml:space="preserve">Procurement of 850Unit of Cabrio Compact Tractors Power Tiller. </t>
  </si>
  <si>
    <t>COVID-19</t>
  </si>
  <si>
    <t>SPDO-MAG-P-23-00035</t>
  </si>
  <si>
    <t>Purchase of Grains under the Buffer Stock of Agricultural Programme</t>
  </si>
  <si>
    <t>SPDO-MCT-P-23-00001</t>
  </si>
  <si>
    <t>Taraba woven Sack Factory(Phase I)</t>
  </si>
  <si>
    <t xml:space="preserve">The project is a woven Sack Factory to be Located in Jalingo </t>
  </si>
  <si>
    <t xml:space="preserve">no </t>
  </si>
  <si>
    <t>Reform of Government and Governance (General)</t>
  </si>
  <si>
    <t>SPDO-MCT-P-23-00003</t>
  </si>
  <si>
    <t>International Yam Market (Wukari)</t>
  </si>
  <si>
    <t>Wukari;</t>
  </si>
  <si>
    <t>ongoing</t>
  </si>
  <si>
    <t xml:space="preserve"> The project will generate IGR to Government through of revenue and taxes</t>
  </si>
  <si>
    <t>SPDO-MCT-P-23-00004</t>
  </si>
  <si>
    <t>Organizing Taraba Investment Summit</t>
  </si>
  <si>
    <t>Organizing the Taraba Economic Summit</t>
  </si>
  <si>
    <t>Others (Outside the state);</t>
  </si>
  <si>
    <t>Nil</t>
  </si>
  <si>
    <t>SPDO-MCT-P-23-00005</t>
  </si>
  <si>
    <t>Establishment of Trade Facilitation Centre</t>
  </si>
  <si>
    <t>Establishment of Trade Facilitation Center (one stop Investment Center)</t>
  </si>
  <si>
    <t>The project will bring in Investors into the state who are potential revenue payers</t>
  </si>
  <si>
    <t>SPDO-MCT-P-23-00006</t>
  </si>
  <si>
    <t>Development of Industrial Layout @Tashan Nyamu</t>
  </si>
  <si>
    <t>Development of Industrial layout</t>
  </si>
  <si>
    <t>Ardo-kola;</t>
  </si>
  <si>
    <t>Through payment of Taxes</t>
  </si>
  <si>
    <t>SPDO-MCT-P-23-00007</t>
  </si>
  <si>
    <t>Construction of 2No. Area Commercial offices</t>
  </si>
  <si>
    <t>Construction of three Area Commercial offices in Jalingo, Wukari and Bali</t>
  </si>
  <si>
    <t>Bali;Jalingo;Wukari;</t>
  </si>
  <si>
    <t>The project will serve as Zonal revenue collection offices</t>
  </si>
  <si>
    <t>SPDO-MCT-P-23-00008</t>
  </si>
  <si>
    <t xml:space="preserve">Provision for the Hosting of Trade Fair </t>
  </si>
  <si>
    <t>Hosting of Tradefair</t>
  </si>
  <si>
    <t>SPDO-MCT-P-23-00009</t>
  </si>
  <si>
    <t>Development of Website on Trade and investment</t>
  </si>
  <si>
    <t>Development of website on trade and investment</t>
  </si>
  <si>
    <t>SPDO-MCT-P-23-00010</t>
  </si>
  <si>
    <t>Promotion of Export Activities in the State</t>
  </si>
  <si>
    <t>Promotion of export activities</t>
  </si>
  <si>
    <t>SPDO-MCT-P-23-00011</t>
  </si>
  <si>
    <t xml:space="preserve">Purchase of 7No. Motorcycles </t>
  </si>
  <si>
    <t>SPDO-MWI-P-23-00001</t>
  </si>
  <si>
    <t>Design and construction of Mararraban Baissa-Abong Road (82km)</t>
  </si>
  <si>
    <t>Design and Construction</t>
  </si>
  <si>
    <t>Donga;Kurmi;</t>
  </si>
  <si>
    <t>Ministry of Works &amp; Infrastructure Development</t>
  </si>
  <si>
    <t>On hold</t>
  </si>
  <si>
    <t>Road (General)</t>
  </si>
  <si>
    <t>SPDO-MWI-P-23-00002</t>
  </si>
  <si>
    <t>Dualization of Jallingo City Gates (18km)</t>
  </si>
  <si>
    <t>SPDO-MWI-P-23-00003</t>
  </si>
  <si>
    <t>Design and construction of Pamanga-Dakka Road (35km)</t>
  </si>
  <si>
    <t>Bali;</t>
  </si>
  <si>
    <t>Receipt from the State IGR</t>
  </si>
  <si>
    <t>SPDO-MWI-P-23-00004</t>
  </si>
  <si>
    <t>Construction of Yerima-Gassol-Dominion Farm (24km) Road</t>
  </si>
  <si>
    <t>Gassol;</t>
  </si>
  <si>
    <t>Flow of market activities via the route</t>
  </si>
  <si>
    <t>SPDO-MWI-P-23-00005</t>
  </si>
  <si>
    <t>Design and construction of Wukari-Tsukundi-Nddo Iddi Road</t>
  </si>
  <si>
    <t>Design and Construction of Road</t>
  </si>
  <si>
    <t>Kurmi;</t>
  </si>
  <si>
    <t>SPDO-MWI-P-23-00006</t>
  </si>
  <si>
    <t>Construct and  Rehabilitation of Government House Road networks</t>
  </si>
  <si>
    <t>Construction</t>
  </si>
  <si>
    <t>SPDO-MWI-P-23-00007</t>
  </si>
  <si>
    <t>Design and construction of Lacheke-Pantisawa Road (18km)</t>
  </si>
  <si>
    <t>Yorro;</t>
  </si>
  <si>
    <t>SPDO-MDI-P-23-00001</t>
  </si>
  <si>
    <t xml:space="preserve">Contruction of Digital Hub and CBT Centre </t>
  </si>
  <si>
    <t>Solutions produce to be sold out</t>
  </si>
  <si>
    <t>Upscaling of digital literacy</t>
  </si>
  <si>
    <t>SPDO-MDI-P-23-00002</t>
  </si>
  <si>
    <t>Education Management System Data Collection/Smart Students</t>
  </si>
  <si>
    <t>Biometric capturing of students and introduction of E-learning</t>
  </si>
  <si>
    <t>Educational Digitization</t>
  </si>
  <si>
    <t>SPDO-MDI-P-23-00003</t>
  </si>
  <si>
    <t>Digital Literacy and Capacity building in (16 LGA) for Women and Youth</t>
  </si>
  <si>
    <t>Capacity Building Program for Women and Youths</t>
  </si>
  <si>
    <t>Digital Literacy program</t>
  </si>
  <si>
    <t>SPDO-MDI-P-23-00004</t>
  </si>
  <si>
    <t xml:space="preserve">Digital Solution for MDA/E-Commerce </t>
  </si>
  <si>
    <t>SPDO-MCP-P-23-00004</t>
  </si>
  <si>
    <t>Monitoring and Evaluation for Conditional Cash Transfer Activities</t>
  </si>
  <si>
    <t>Conditional Cash Transfer M&amp;E Support Activities</t>
  </si>
  <si>
    <t>SPDO-MCP-P-23-00005</t>
  </si>
  <si>
    <t>Educational Training for Cooperative Societies Across the 16 LGAs</t>
  </si>
  <si>
    <t>Educational Training for Cooperative Societies Across The 16 LGA</t>
  </si>
  <si>
    <t>SPDO-MCP-P-23-00006</t>
  </si>
  <si>
    <t>Baseline Survey (Cooperative Data Capture)</t>
  </si>
  <si>
    <t>SPDO-MCP-P-23-00007</t>
  </si>
  <si>
    <t>Procurement of Office Furniture</t>
  </si>
  <si>
    <t>SPDO-MHE-P-23-00019</t>
  </si>
  <si>
    <t>Taraba Carnival Programme in the State</t>
  </si>
  <si>
    <t>Societal Re-Orientation (General)</t>
  </si>
  <si>
    <t>SPDO-MHE-P-23-00022</t>
  </si>
  <si>
    <t>Establishment of Local Government Tourism Committee</t>
  </si>
  <si>
    <t>SPDO-MST-P-23-00007</t>
  </si>
  <si>
    <t xml:space="preserve">World science day/STEM/partnership </t>
  </si>
  <si>
    <t xml:space="preserve">World science day exhibition </t>
  </si>
  <si>
    <t>All LGAs;Others (Outside the state);</t>
  </si>
  <si>
    <t>Ministry of Science &amp; Technology</t>
  </si>
  <si>
    <t>Information Communication and Technology (General)</t>
  </si>
  <si>
    <t>SPDO-MST-P-23-00003</t>
  </si>
  <si>
    <t xml:space="preserve">Tissue culture/ fish pond and feeds production </t>
  </si>
  <si>
    <t xml:space="preserve">Tissue culture production, fish farming and feeds </t>
  </si>
  <si>
    <t>Tissue culture and feeds production are sold thereby helping in the growth of the GDP</t>
  </si>
  <si>
    <t>SPDO-MST-P-23-00008</t>
  </si>
  <si>
    <t>Technoprenuership cosmetology/ renewable energy tech/STI culture and live stock fishery</t>
  </si>
  <si>
    <t xml:space="preserve">Sustainability in the use of renewable energy, recycling and livestock farming </t>
  </si>
  <si>
    <t>When product are sold will increase the state IGR</t>
  </si>
  <si>
    <t>SPDO-MST-P-23-00002</t>
  </si>
  <si>
    <t>Science Technology and Innovation (STI) Policy</t>
  </si>
  <si>
    <t xml:space="preserve">Policy formulation for the ministry </t>
  </si>
  <si>
    <t>SPDO-MST-P-23-00009</t>
  </si>
  <si>
    <t xml:space="preserve">Procurement of machines for processing and packaging </t>
  </si>
  <si>
    <t xml:space="preserve">Purchase of machines for the agencies and technology village </t>
  </si>
  <si>
    <t>Jalingo;Ardo-kola;Yorro;</t>
  </si>
  <si>
    <t>Help in the production of different quality items to be sold</t>
  </si>
  <si>
    <t>SPDO-MST-P-23-00005</t>
  </si>
  <si>
    <t>National council/ expos/ 774 young NPA 2024</t>
  </si>
  <si>
    <t xml:space="preserve">National and state science expos for science students and exhibitions </t>
  </si>
  <si>
    <t>SPDO-MST-P-23-00012</t>
  </si>
  <si>
    <t xml:space="preserve">Leather work/ fertilizer/fruit processing and packaging </t>
  </si>
  <si>
    <t xml:space="preserve">Processing and packaging of fruits and fertilizers </t>
  </si>
  <si>
    <t xml:space="preserve">Profit making activity </t>
  </si>
  <si>
    <t>SPDO-MST-P-23-00006</t>
  </si>
  <si>
    <t>GSM/ mobile app tech/ welding and fabrications/ advance manufacturing technology (capacity building)</t>
  </si>
  <si>
    <t xml:space="preserve">Local and software manufacturing </t>
  </si>
  <si>
    <t xml:space="preserve">It tends to generate huge revenue for the state </t>
  </si>
  <si>
    <t>SPDO-MST-P-23-00001</t>
  </si>
  <si>
    <t>Construction of technology village (phase1)</t>
  </si>
  <si>
    <t xml:space="preserve">To develop strong knowledge base that will contribute to Nigeria's economic dependency and help in job creation </t>
  </si>
  <si>
    <t>It will help in generating revenue by providing scientific inventions and other services to be sold</t>
  </si>
  <si>
    <t>SPDO-MST-P-23-00011</t>
  </si>
  <si>
    <t>Construction of chemical technology development agency ( phase1)</t>
  </si>
  <si>
    <t xml:space="preserve">Construction of chemical agency </t>
  </si>
  <si>
    <t xml:space="preserve">Promotes research and economic development </t>
  </si>
  <si>
    <t>SPDO-MST-P-23-00004</t>
  </si>
  <si>
    <t>Construction of biotechnology agency (Phase1)</t>
  </si>
  <si>
    <t xml:space="preserve">Construction of an agency for biotechnology </t>
  </si>
  <si>
    <t xml:space="preserve">Economic development </t>
  </si>
  <si>
    <t>SPDO-MWM-P-23-00001</t>
  </si>
  <si>
    <t>Purchase of  500No. Pieces of Industrial Waste Bin Clargy</t>
  </si>
  <si>
    <t>Purchase Of Waste Bin Containers</t>
  </si>
  <si>
    <t>SPDO-MWM-P-23-00002</t>
  </si>
  <si>
    <t>Acquisition Of Dumpling Site</t>
  </si>
  <si>
    <t>Acquisition Of Land For Dumping Of Waste Bin In All The 16 Lgas</t>
  </si>
  <si>
    <t>SPDO-MWM-P-23-00003</t>
  </si>
  <si>
    <t xml:space="preserve">Uniform For Sanitation Workers </t>
  </si>
  <si>
    <t xml:space="preserve">Purchase Of Uniform For All The 10,000 Sanitation Workers Across The 16 Local Government Area </t>
  </si>
  <si>
    <t>SPDO-MWM-P-23-00004</t>
  </si>
  <si>
    <t>Research &amp; Development in the Field of Waste Management</t>
  </si>
  <si>
    <t xml:space="preserve">Research And Development For The Ministry </t>
  </si>
  <si>
    <t>SPDO-MWM-P-23-00005</t>
  </si>
  <si>
    <t>Provision of Office Equipment</t>
  </si>
  <si>
    <t>Purchases Of Office Equipment To Facilitate Office Work</t>
  </si>
  <si>
    <t>SPDO-MWM-P-23-00006</t>
  </si>
  <si>
    <t>Construction of Office Accomodation at Jalingo</t>
  </si>
  <si>
    <t xml:space="preserve">Office For The Staff Of The Ministry Since It'S A New Ministry </t>
  </si>
  <si>
    <t>SPDO-MWM-P-23-00007</t>
  </si>
  <si>
    <t>Purchase of 50No. Community Waste Bin to some Selected Communities in the State</t>
  </si>
  <si>
    <t>Equipment For Any Workshop Activities.</t>
  </si>
  <si>
    <t>SPDO-MRU-P-23-00001</t>
  </si>
  <si>
    <t>Rural Electrification of communities in the state</t>
  </si>
  <si>
    <t xml:space="preserve">Rehabilitation &amp; Upgrading of Nguroje Electric Project </t>
  </si>
  <si>
    <t>1/1/202</t>
  </si>
  <si>
    <t>SPDO-MRU-P-23-00019</t>
  </si>
  <si>
    <t>Construction of Ten (10) New Culvert in Taka Lafiya Ward Bali</t>
  </si>
  <si>
    <t>SPDO-MRU-P-23-00026</t>
  </si>
  <si>
    <t>Rural Road construction</t>
  </si>
  <si>
    <t>SPDO-MRU-P-23-00047</t>
  </si>
  <si>
    <t>Construction of Market and Shed at Dolla Town, Lau LGA</t>
  </si>
  <si>
    <t>Rural Constructions</t>
  </si>
  <si>
    <t>SPDO-MRU-P-23-00032</t>
  </si>
  <si>
    <t>Construction of market store building at Jen town, K/Lamido</t>
  </si>
  <si>
    <t>SPDO-MRU-P-23-00014</t>
  </si>
  <si>
    <t>Construction of Five (5) Culvert in Zangon Kombi Ward Ardo-Kola</t>
  </si>
  <si>
    <t>SPDO-MRU-P-23-00031</t>
  </si>
  <si>
    <t>Supply of Istallation 230KV Solar Energy at General Hospital</t>
  </si>
  <si>
    <t>Rural electrification</t>
  </si>
  <si>
    <t>SPDO-MRU-P-23-00039</t>
  </si>
  <si>
    <t>Fencing of cattle Market at Andemi Town Karim-Lamido</t>
  </si>
  <si>
    <t>SPDO-MRU-P-23-00015</t>
  </si>
  <si>
    <t>Construction of Culvert at Fete Community in Takum</t>
  </si>
  <si>
    <t>SPDO-MRU-P-23-00066</t>
  </si>
  <si>
    <t>Construction of Skill Acquisition Centre at Dorofi, Gembu Town</t>
  </si>
  <si>
    <t>Rural construction</t>
  </si>
  <si>
    <t>Gembu</t>
  </si>
  <si>
    <t>SPDO-MRU-P-23-00054</t>
  </si>
  <si>
    <t>Extension/Rehabilitation of 33kV line to Mayo Ranewo</t>
  </si>
  <si>
    <t>SPDO-MRU-P-23-00055</t>
  </si>
  <si>
    <t>renovation and Upgrading of Jen Electrification</t>
  </si>
  <si>
    <t>SPDO-MRU-P-23-00057</t>
  </si>
  <si>
    <t>Extension of 33KV/ITC line from Wukari-Gidan Dorowa Wukari</t>
  </si>
  <si>
    <t>SPDO-MRU-P-23-00062</t>
  </si>
  <si>
    <t>Electronic Bill Board in Jalingo</t>
  </si>
  <si>
    <t>SPDO-MRU-P-23-00063</t>
  </si>
  <si>
    <t>Extension of 33kKVA line (DTN) from Marraraba Baissa to Baissa</t>
  </si>
  <si>
    <t>SPDO-MRU-P-23-00064</t>
  </si>
  <si>
    <t>Procurement of 20No. Transformers for distribution LGA</t>
  </si>
  <si>
    <t>SPDO-MRU-P-23-00051</t>
  </si>
  <si>
    <t xml:space="preserve">Construction of town hall Building Danbeki Town, kurmi LGA </t>
  </si>
  <si>
    <t>SPDO-MRU-P-23-00067</t>
  </si>
  <si>
    <t>Supply and Istallation of 4Nos. 300KVA 33/0.415 at Baissa</t>
  </si>
  <si>
    <t>SPDO-MRU-P-23-00068</t>
  </si>
  <si>
    <t>SPDO-MWA-P-23-00001</t>
  </si>
  <si>
    <t>Provision of Jalingo Primary Water Supply Scheme</t>
  </si>
  <si>
    <t>It is designed to increase water source to jalingo township</t>
  </si>
  <si>
    <t>Generate IGR from sales of water.</t>
  </si>
  <si>
    <t>SPDO-MSJ-P-23-00002</t>
  </si>
  <si>
    <t>Construction of IDP Centre in Karim Lamido, Bali &amp; Ussa</t>
  </si>
  <si>
    <t>Construction of IDP Centre inKarim-Lamido, Bali and Ussa</t>
  </si>
  <si>
    <t>Karim Lamido;Bali;Ussa;</t>
  </si>
  <si>
    <t>Ministry Social Justice &amp; Re-Integration</t>
  </si>
  <si>
    <t>SPDO-MSJ-P-23-00003</t>
  </si>
  <si>
    <t>Care for The Destitute</t>
  </si>
  <si>
    <t>Care for the refugee or stranded visitors, and Nnn indegen that are stranded to be relocated back to their state of origin.</t>
  </si>
  <si>
    <t>SPDO-MSJ-P-23-00004</t>
  </si>
  <si>
    <t>Construction of Rehabilitation Centre of PWDs in Jalingo, Wukari &amp; Gassol</t>
  </si>
  <si>
    <t>Construction of Rehabilitation Centre of People With Disabilities In Jalingo, Wukari and Gassol</t>
  </si>
  <si>
    <t>Jalingo;Wukari;Gassol;</t>
  </si>
  <si>
    <t>SPDO-MSJ-P-23-00005</t>
  </si>
  <si>
    <t>Construction of Recreational Centre for the Aged/Elderly Persons</t>
  </si>
  <si>
    <t>Construction of Recreation Centre for the Aged/elderly Persons</t>
  </si>
  <si>
    <t>SPDO-MSJ-P-23-00006</t>
  </si>
  <si>
    <t>Renovation &amp; Maintenance of Area Office in the State</t>
  </si>
  <si>
    <t>Construction and Furnishing of 13 Area offices in Jalingo, Ardo-kola, Zing, Yoro, Lau, Gassol, Gashaka, Kurmi, Bali, Ussa, Karim-lamido, Donga and Ibi</t>
  </si>
  <si>
    <t>Ardo-kola;Bali;Donga;Gashaka;Gassol;Ibi;Jalingo;Karim Lamido;Kurmi;Lau;Ussa;Yorro;Zing;</t>
  </si>
  <si>
    <t>From License payment of Hotels, Pool betting, Snookers</t>
  </si>
  <si>
    <t>SPDO-MWC-P-23-00002</t>
  </si>
  <si>
    <t>Provision for Support to Widows and Orphans in the State</t>
  </si>
  <si>
    <t>Jalingo Local Government Area</t>
  </si>
  <si>
    <t>SPDO-MWC-P-23-00008</t>
  </si>
  <si>
    <t>Care &amp; Support for OVC</t>
  </si>
  <si>
    <t>Care and support of Orphans and Vulnerable</t>
  </si>
  <si>
    <t>Improvement to Human Health (General)</t>
  </si>
  <si>
    <t>SPDO-MWC-P-23-00014</t>
  </si>
  <si>
    <t>Children development &amp; national/international celebration</t>
  </si>
  <si>
    <t>Celebrating national international children</t>
  </si>
  <si>
    <t>Enhancing Skills and Knowledge (General)</t>
  </si>
  <si>
    <t>SPDO-MWC-P-23-00012</t>
  </si>
  <si>
    <t>Children empowerment</t>
  </si>
  <si>
    <t>Empowering children</t>
  </si>
  <si>
    <t>SPDO-MWC-P-23-00001</t>
  </si>
  <si>
    <t>Completion of children Amusement park</t>
  </si>
  <si>
    <t>Children Amusement Park</t>
  </si>
  <si>
    <t>Gender equality</t>
  </si>
  <si>
    <t>SPDO-MWC-P-23-00010</t>
  </si>
  <si>
    <t xml:space="preserve">Empowerment/exhibition /National celebration </t>
  </si>
  <si>
    <t>Empowerment exhibition national celebration</t>
  </si>
  <si>
    <t>SPDO-MWC-P-23-00007</t>
  </si>
  <si>
    <t xml:space="preserve">Advocacy/SDG </t>
  </si>
  <si>
    <t>Provision for women and children</t>
  </si>
  <si>
    <t>SPDO-MWC-P-23-00013</t>
  </si>
  <si>
    <t>M&amp;E project, vehicle, office block, stores</t>
  </si>
  <si>
    <t>Monitoring and evaluation project</t>
  </si>
  <si>
    <t>SPDO-MWC-P-23-00003</t>
  </si>
  <si>
    <t>Completion of Acquisition Centre in the 3 Senatorial Zone</t>
  </si>
  <si>
    <t>Completion of skills acquisition Centre in Donga, Southern Senatorial Zone</t>
  </si>
  <si>
    <t>SPDO-MWC-P-23-00004</t>
  </si>
  <si>
    <t xml:space="preserve"> UN Women: Palliatives to the Poor &amp; Vulnerable Women</t>
  </si>
  <si>
    <t xml:space="preserve"> Palliatives to the Poor &amp; Vulnerable Women</t>
  </si>
  <si>
    <t>SPDO-MWC-P-23-00005</t>
  </si>
  <si>
    <t>Campaign/Women &amp; Children Protection in Emergency</t>
  </si>
  <si>
    <t>VAC</t>
  </si>
  <si>
    <t>Jalingo, Taraba state head quarter</t>
  </si>
  <si>
    <t>SPDO-MWC-P-23-00011</t>
  </si>
  <si>
    <t>Women fitness/hall fame</t>
  </si>
  <si>
    <t>For women clinic</t>
  </si>
  <si>
    <t>SPDO-MWI-P-23-00008</t>
  </si>
  <si>
    <t>Design and construction of Donga-Mararraba Road with Spur to Suntai</t>
  </si>
  <si>
    <t>Donga, Bali</t>
  </si>
  <si>
    <t>Road - General</t>
  </si>
  <si>
    <t>SPDO-MWI-P-23-00009</t>
  </si>
  <si>
    <t>Construction of mararraban Kunini-Kunini-Kwantanga Road</t>
  </si>
  <si>
    <t>SPDO-MWI-P-23-00010</t>
  </si>
  <si>
    <t>Design and construction of Gembu-Bang Road (35KM)</t>
  </si>
  <si>
    <t>SPDO-MWI-P-23-00011</t>
  </si>
  <si>
    <t>Design and construction of Takum-Lissam Road (2.5km)</t>
  </si>
  <si>
    <t>SPDO-MWI-P-23-00012</t>
  </si>
  <si>
    <t>Design and construction of Trailer Parks</t>
  </si>
  <si>
    <t xml:space="preserve">
7,560,939,531.71</t>
  </si>
  <si>
    <t>SPDO-MWI-P-23-00013</t>
  </si>
  <si>
    <t>Construction of Township Roads in the 3 Senatorial District</t>
  </si>
  <si>
    <t>SPDO-MWI-P-23-00014</t>
  </si>
  <si>
    <t>Construction of Jalingo Township Roads</t>
  </si>
  <si>
    <t>SPDO-MWI-P-23-00015</t>
  </si>
  <si>
    <t>Design and Construction of Jibu Road in Wukari LGA, Gindin-Dorowa (33.6KM)</t>
  </si>
  <si>
    <t>SPDO-MWI-P-23-00016</t>
  </si>
  <si>
    <t>Design and Construction of Kente-Chinkai Road in Wukari LGA, (19KM</t>
  </si>
  <si>
    <t>SPDO-MWI-P-23-00017</t>
  </si>
  <si>
    <t>Design and Construction of Nwukyu-Benkaho Road in Wukari LGA, Gindin-Dorowa (30KM)</t>
  </si>
  <si>
    <t>SPDO-MWI-P-23-00018</t>
  </si>
  <si>
    <t>Muslim Council-Albaz-Gospel House Road 1.5km, Jalingo</t>
  </si>
  <si>
    <t>SPDO-MWI-P-23-00019</t>
  </si>
  <si>
    <t>Angwan Kasa-NNPC-Deeper Life Camp Road  4.5km, Jalingo</t>
  </si>
  <si>
    <t>SPDO-MWI-P-23-00020</t>
  </si>
  <si>
    <t>Motor park-Mansur Primary School-Chief Palace Road 2.5km, Gembu.</t>
  </si>
  <si>
    <t>SPDO-MWI-P-23-00021</t>
  </si>
  <si>
    <t>Old Motor Park-First Baptist Church-Gechan Hospital Road  (7km) in Jalingo</t>
  </si>
  <si>
    <t>SPDO-MWI-P-23-00022</t>
  </si>
  <si>
    <t>Soyoyo Road (Hospital Ward) Wukari</t>
  </si>
  <si>
    <t>SPDO-MWI-P-23-00023</t>
  </si>
  <si>
    <t>Cemetery Road through Lagos Area (Avyi Ward) Wukari</t>
  </si>
  <si>
    <t>SPDO-MWI-P-23-00024</t>
  </si>
  <si>
    <t>Kinkiso Road by Abiten Motel (Puje Ward)</t>
  </si>
  <si>
    <t>SPDO-MWI-P-23-00025</t>
  </si>
  <si>
    <t>Provision of Mechanical/Electrical Tools</t>
  </si>
  <si>
    <t>SPDO-MWI-P-23-00026</t>
  </si>
  <si>
    <t>Construction of New Government House (Access road)</t>
  </si>
  <si>
    <t xml:space="preserve">Stimulate economic activities and enhances security surveillance  </t>
  </si>
  <si>
    <t>SPDO-MWI-P-23-00027</t>
  </si>
  <si>
    <t>Construction of Yearly 100 Housing Units Programme</t>
  </si>
  <si>
    <t>SPDO-MWI-P-23-00028</t>
  </si>
  <si>
    <t>Provision for Estates/Quarters in the State</t>
  </si>
  <si>
    <t>SPDO-MWI-P-23-00029</t>
  </si>
  <si>
    <t>Completion of an Office Block and furnishing</t>
  </si>
  <si>
    <t>SPDO-MWI-P-23-00030</t>
  </si>
  <si>
    <t>Provision of Services for Housing Developments</t>
  </si>
  <si>
    <t>SPDO-MWI-P-23-00031</t>
  </si>
  <si>
    <t>Complepletion of 30 units of TSHP II at Zing for COE</t>
  </si>
  <si>
    <t>SPDO-MWI-P-23-00032</t>
  </si>
  <si>
    <t>Construction of A6 Room office Block for Housing Corporation</t>
  </si>
  <si>
    <t>SPDO-MWI-P-23-00033</t>
  </si>
  <si>
    <t>Rehabilitation of Property Rating</t>
  </si>
  <si>
    <t>SPDO-MWI-P-23-00034</t>
  </si>
  <si>
    <t>Completion of Purchased House at Sabon gari Jalingo</t>
  </si>
  <si>
    <t>SPDO-MWI-P-23-00035</t>
  </si>
  <si>
    <t>Construction of Military Base at 2 Senatorial Zones (Wukari,Apawa and Mararraba Zing)</t>
  </si>
  <si>
    <t>Wukari, Yorro, Zing</t>
  </si>
  <si>
    <t>SPDO-MWI-P-23-00036</t>
  </si>
  <si>
    <t>Design and Construction of Jin-Ndibam - Kuru Jidu community</t>
  </si>
  <si>
    <t>SPDO-MYS-P-23-00001</t>
  </si>
  <si>
    <t>Private Security at Jolly Nyame Stadium</t>
  </si>
  <si>
    <t>Renovation</t>
  </si>
  <si>
    <t>Ministry of Youth &amp; Sports Development</t>
  </si>
  <si>
    <t>Bursting the sport activities within the state and encourage participation even outside the state</t>
  </si>
  <si>
    <t>Youth - General</t>
  </si>
  <si>
    <t xml:space="preserve">Not an initiative </t>
  </si>
  <si>
    <t>SPDO-MYS-P-23-00002</t>
  </si>
  <si>
    <t>Job Creation for Unemployed Youths in the State</t>
  </si>
  <si>
    <t>Youth Empowerment</t>
  </si>
  <si>
    <t>SPDO-MYS-P-23-00003</t>
  </si>
  <si>
    <t>Youth Behavioural Change</t>
  </si>
  <si>
    <t>SPDO-MYS-P-23-00004</t>
  </si>
  <si>
    <t>Sports Development Programme</t>
  </si>
  <si>
    <t>SPDO-MYS-P-23-00005</t>
  </si>
  <si>
    <t xml:space="preserve">FC Taraba Sporting Activities </t>
  </si>
  <si>
    <t>SPDO-MYS-P-23-00006</t>
  </si>
  <si>
    <t>Renovation of  Sembe Lodge</t>
  </si>
  <si>
    <t>SPDO-SME-P-23-00001</t>
  </si>
  <si>
    <t>General Entrepreneurship Development (Capacity Training)</t>
  </si>
  <si>
    <t>Agency for Small &amp; Medium Scale Enterprises</t>
  </si>
  <si>
    <t>Agency</t>
  </si>
  <si>
    <t>Ministry of Commerce Trade and Industry</t>
  </si>
  <si>
    <t xml:space="preserve"> Industry, Innovation and Infrastructure</t>
  </si>
  <si>
    <t>Growing the Private Sector - General</t>
  </si>
  <si>
    <t>SPDO-SME-P-23-00002</t>
  </si>
  <si>
    <t>Baseline Economic Survey on Micro, Small &amp; Medium Enterprises</t>
  </si>
  <si>
    <t>SPDO-SME-P-23-00003</t>
  </si>
  <si>
    <t>Small Scale Industries Credit Schemes</t>
  </si>
  <si>
    <t>SPDO-SME-P-23-00004</t>
  </si>
  <si>
    <t>Taraba MSMEs Expo (Exhibition)</t>
  </si>
  <si>
    <t>SPDO-BLS-P-23-00010</t>
  </si>
  <si>
    <t>Production of all Maps of Chiefdom Created in the State</t>
  </si>
  <si>
    <t>Bureau for Solid Minerals</t>
  </si>
  <si>
    <t>Office of the Governor</t>
  </si>
  <si>
    <t>SPDO-BSM-P-23-00001</t>
  </si>
  <si>
    <t>Exploration of Hydrocarborn Using Satllite on Benue Valley</t>
  </si>
  <si>
    <t>SPDO-BSM-P-23-00002</t>
  </si>
  <si>
    <t>Purchase of Equipment for Office Use</t>
  </si>
  <si>
    <t>SPDO-BSM-P-23-00003</t>
  </si>
  <si>
    <t>Renewal of all Mining Lease</t>
  </si>
  <si>
    <t>SPDO-BSM-P-23-00004</t>
  </si>
  <si>
    <t>Leasing of New Sites/Ocurrence</t>
  </si>
  <si>
    <t>SPDO-BPP-P-23-00001</t>
  </si>
  <si>
    <t xml:space="preserve">Renovation and Furnishing of BPP Office in Jalingo </t>
  </si>
  <si>
    <t>Bureau of Public Procurement (Due Process)</t>
  </si>
  <si>
    <t>SPDO-BPP-P-23-00002</t>
  </si>
  <si>
    <t>Construction of ICT Centre (Phase I) Jalingo</t>
  </si>
  <si>
    <t>SPDO-BPP-P-23-00003</t>
  </si>
  <si>
    <t>Provision of ICT Facility on the Existing Structure (Phase I) in Jalingo</t>
  </si>
  <si>
    <t>SPDO-BPP-P-23-00004</t>
  </si>
  <si>
    <t>Sensitization/Seminar for Contractors &amp; Suppliers e.t.c in Jalingo</t>
  </si>
  <si>
    <t>SPDO-COA-P-23-00001</t>
  </si>
  <si>
    <t>Construction of E - Library in the State</t>
  </si>
  <si>
    <t>College of Agriculture, Jalingo</t>
  </si>
  <si>
    <t>Department</t>
  </si>
  <si>
    <t>Ministry of Agriculture and Food Security</t>
  </si>
  <si>
    <t>SPDO-COA-P-23-00006</t>
  </si>
  <si>
    <t>Rehabilitation &amp; Construction of Feedmill Machinery</t>
  </si>
  <si>
    <t>SPDO-COA-P-23-00007</t>
  </si>
  <si>
    <t>Construction of Office/Hatchery Pen.</t>
  </si>
  <si>
    <t>SPDO-COA-P-23-00017</t>
  </si>
  <si>
    <t xml:space="preserve">Installation of 100 Numbers. of 20KVA Solar Panels </t>
  </si>
  <si>
    <t>SPDO-COA-P-23-00018</t>
  </si>
  <si>
    <t>Renovation of Block of Storage of Feeds &amp; Eggs</t>
  </si>
  <si>
    <t>SPDO-COA-P-23-00019</t>
  </si>
  <si>
    <t>Renovation of Block of Entrepreuship Centre</t>
  </si>
  <si>
    <t>SPDO-COE-P-23-00001</t>
  </si>
  <si>
    <t>Purchase of Fixed Assets and Materials for the College</t>
  </si>
  <si>
    <t>College of Education, Zing</t>
  </si>
  <si>
    <t>SPDO-COE-P-23-00002</t>
  </si>
  <si>
    <t>Construction/Provision of Fixed Assets (TETFund)</t>
  </si>
  <si>
    <t>SPDO-COE-P-23-00003</t>
  </si>
  <si>
    <t>Rehabilitation of Buidings and College Infrastructures</t>
  </si>
  <si>
    <t>SPDO-COE-P-23-00004</t>
  </si>
  <si>
    <t>Convocation Programme in the College</t>
  </si>
  <si>
    <t>SPDO-COE-P-23-00005</t>
  </si>
  <si>
    <t>Accreditation of Courses at the College of Education, Zing</t>
  </si>
  <si>
    <t>Tertiary institutions’ new courses accreditation</t>
  </si>
  <si>
    <t>SPDO-COE-P-23-00006</t>
  </si>
  <si>
    <t>Building of Staff Quarters</t>
  </si>
  <si>
    <t>SPDO-COE-P-23-00007</t>
  </si>
  <si>
    <t>Completion of Abundant Projects at College of Education (COE), Zing</t>
  </si>
  <si>
    <t>SPDO-COE-P-23-00008</t>
  </si>
  <si>
    <t>Compensation of Land and Landed Properties</t>
  </si>
  <si>
    <t>SPDO-COE-P-23-00009</t>
  </si>
  <si>
    <t>Puchase of Equipment at COE, Zing</t>
  </si>
  <si>
    <t>SPDO-COH-P-23-00001</t>
  </si>
  <si>
    <t>Construction of 2No. Six(6) Classroom</t>
  </si>
  <si>
    <t>College of Health Technology, Takum</t>
  </si>
  <si>
    <t>SPDO-COH-P-23-00002</t>
  </si>
  <si>
    <t>Construction of 10No. Room Examination and Record Complex</t>
  </si>
  <si>
    <t>SPDO-COH-P-23-00003</t>
  </si>
  <si>
    <t>Construction of 1No. New Administration Block</t>
  </si>
  <si>
    <t>SPDO-COH-P-23-00004</t>
  </si>
  <si>
    <t>Construction of 15No. Staff Quarters</t>
  </si>
  <si>
    <t>SPDO-CSA-P-23-00001</t>
  </si>
  <si>
    <t>Community and Social Development Agency Project Activities in the State (Rural infrastructure)</t>
  </si>
  <si>
    <t>Community &amp; Social Development Agency</t>
  </si>
  <si>
    <t>Ministry Finance Budget and Economic Planning</t>
  </si>
  <si>
    <t>SPDO-CCA-P-23-00002</t>
  </si>
  <si>
    <t>Renovation of Customary Court complex</t>
  </si>
  <si>
    <t>Customary Court of Appeal</t>
  </si>
  <si>
    <t>SPDO-FCP-P-23-00001</t>
  </si>
  <si>
    <t>FADAMA CARES Project Activities/Purchase of Fixed Assets</t>
  </si>
  <si>
    <t>FADAMA CARES Project Support Unit</t>
  </si>
  <si>
    <t>SPDO-HCJ-P-23-00001</t>
  </si>
  <si>
    <t>Const. of High Court Judicial Division in Takum</t>
  </si>
  <si>
    <t>High Court of Justice</t>
  </si>
  <si>
    <t>SPDO-HCJ-P-23-00002</t>
  </si>
  <si>
    <t>Construction of 15 Area Courts</t>
  </si>
  <si>
    <t>SPDO-HCJ-P-23-00003</t>
  </si>
  <si>
    <t>Const.of High Court Judicial Division in Bali</t>
  </si>
  <si>
    <t>SPDO-HCJ-P-23-00004</t>
  </si>
  <si>
    <t>Construction of Magistrate Court Building in 5 LGAs Headquarters</t>
  </si>
  <si>
    <t>SPDO-HCJ-P-23-00005</t>
  </si>
  <si>
    <t>Reconstruction of JSC Burnt Office Complex</t>
  </si>
  <si>
    <t>SPDO-HCJ-P-23-00006</t>
  </si>
  <si>
    <t>Construction  of Judicial Division  Karim</t>
  </si>
  <si>
    <t>SPDO-HCJ-P-23-00007</t>
  </si>
  <si>
    <t>Renovation of High Court Complex Gembu</t>
  </si>
  <si>
    <t>SPDO-HCJ-P-23-00008</t>
  </si>
  <si>
    <t>Purchase of Toyota LC 200 xv v8.8SLS Jeep for Hon. Chief Judge</t>
  </si>
  <si>
    <t>SPDO-HCJ-P-23-00009</t>
  </si>
  <si>
    <t>Purchase of Toyota Land Cruiser Official Vehicles for 14 Judges</t>
  </si>
  <si>
    <t>SPDO-HCJ-P-23-00010</t>
  </si>
  <si>
    <t>Furnishing of Courts Newly constructed/Renovated Courts</t>
  </si>
  <si>
    <t>SPDO-IVP-P-23-00001</t>
  </si>
  <si>
    <t>Agricultural Market Development</t>
  </si>
  <si>
    <t>IFAD - VCD Project Support Unit</t>
  </si>
  <si>
    <t>SPDO-IVP-P-23-00002</t>
  </si>
  <si>
    <t>Smallholder Productivity Enhancement</t>
  </si>
  <si>
    <t>SPDO-IVP-P-23-00003</t>
  </si>
  <si>
    <t>Coordination of International Fund for Agricultural Development Programme in the State</t>
  </si>
  <si>
    <t>SPDO-LSC-P-23-00001</t>
  </si>
  <si>
    <t>Local Government Staff Training Fund</t>
  </si>
  <si>
    <t>Local Government Service Commission (LGSC)</t>
  </si>
  <si>
    <t>SPDO-TAP-P-23-00001</t>
  </si>
  <si>
    <t>Purchase of Grains/Cash Crops Assorted</t>
  </si>
  <si>
    <t>Taraba Agricultural Produce Marketing Agency</t>
  </si>
  <si>
    <t>SPDO-TAP-P-23-00002</t>
  </si>
  <si>
    <t>Rehabilitation of kurmi Storage Facility, Gassol.</t>
  </si>
  <si>
    <t>SPDO-TAP-P-23-00003</t>
  </si>
  <si>
    <t>Renovation of Warehouses Karim, Takum and Wukari</t>
  </si>
  <si>
    <t>Karim Lamido, Takum, Wukari</t>
  </si>
  <si>
    <t>SPDO-TAP-P-23-00004</t>
  </si>
  <si>
    <t>Construction of 3No. Warehouse at Jalingo, Wukari and Gashaka</t>
  </si>
  <si>
    <t>Jalingo, Wukari, Gashaka</t>
  </si>
  <si>
    <t>SPDO-TCA-P-23-00001</t>
  </si>
  <si>
    <t>Provision for the Implementation of  HIV/AIDS Activities and Outreach Programme in Taraba State</t>
  </si>
  <si>
    <t>Taraba State Aids Control Agency</t>
  </si>
  <si>
    <t>Emergency services</t>
  </si>
  <si>
    <t>SPDO-TSC-P-23-00001</t>
  </si>
  <si>
    <t>Purchase of Cultural Centre</t>
  </si>
  <si>
    <t>Taraba State Arts Council</t>
  </si>
  <si>
    <t>Ministry of Heritage and Eco-tourism</t>
  </si>
  <si>
    <t>SPDO-TSC-P-23-00002</t>
  </si>
  <si>
    <t>National Art Festival Activities in the State</t>
  </si>
  <si>
    <t>SPDO-TSC-P-23-00003</t>
  </si>
  <si>
    <t>Taraba Festival Programme</t>
  </si>
  <si>
    <t>SPDO-TSC-P-23-00004</t>
  </si>
  <si>
    <t>Provision for Craft Expo Programme</t>
  </si>
  <si>
    <t>SPDO-TSC-P-23-00005</t>
  </si>
  <si>
    <t>Provision for Abuja Carnival Programme</t>
  </si>
  <si>
    <t>SPDO-TSC-P-23-00006</t>
  </si>
  <si>
    <t>Cultural Exchange Programme</t>
  </si>
  <si>
    <t>Peace, Justice and Strong Institution</t>
  </si>
  <si>
    <t>SPDO-TSC-P-23-00007</t>
  </si>
  <si>
    <t>Arewa Festival Programme</t>
  </si>
  <si>
    <t>SPDO-TSC-P-23-00008</t>
  </si>
  <si>
    <t>Provision for Children Programme in the State</t>
  </si>
  <si>
    <t>SPDO-TSB-P-23-00001</t>
  </si>
  <si>
    <t>Boundary Demarcation for Taraba/Benue/Nassarawa/Plateau Project</t>
  </si>
  <si>
    <t>Taraba State Boundary Commission</t>
  </si>
  <si>
    <t>SPDO-TSA-P-23-00001</t>
  </si>
  <si>
    <t>Construction &amp; Furnishing of 1No. Office Accommodation</t>
  </si>
  <si>
    <t>Taraba State Contributory Health Insurance Agency</t>
  </si>
  <si>
    <t>SPDO-TSA-P-23-00002</t>
  </si>
  <si>
    <t xml:space="preserve">Capitation for Poor &amp; Vulnerable in the State </t>
  </si>
  <si>
    <t>SPDO-TDP-P-23-00001</t>
  </si>
  <si>
    <t>Purchase of Drugs &amp; Medical Equipment/Consumables</t>
  </si>
  <si>
    <t>Taraba State Essential Drugs Programme</t>
  </si>
  <si>
    <t>SPDO-TDP-P-23-00002</t>
  </si>
  <si>
    <t>Renovation of Central Medical Store/Office Complex</t>
  </si>
  <si>
    <t>SPDO-TSA-P-23-00004</t>
  </si>
  <si>
    <t>Upgrading of Health Care Facility</t>
  </si>
  <si>
    <t>Taraba State House of Assembly</t>
  </si>
  <si>
    <t>State House of Assembly</t>
  </si>
  <si>
    <t>SPDO-TSA-P-23-00010</t>
  </si>
  <si>
    <t>CPA/Parliamentary Tours</t>
  </si>
  <si>
    <t>SPDO-TSI-P-23-00006</t>
  </si>
  <si>
    <t>Provision for Furnishing of TRIRS Headquarters Office, Jalingo</t>
  </si>
  <si>
    <t>Taraba State Internal Revenue Service</t>
  </si>
  <si>
    <t>Ministry of Finace, Budget and Economic Planning</t>
  </si>
  <si>
    <t>SPDO-TME-P-23-00002</t>
  </si>
  <si>
    <t>Mobile Education Programme in the State</t>
  </si>
  <si>
    <t>Taraba State Mass Education Board</t>
  </si>
  <si>
    <t>Early Childhood Care, Development and Education (ECCDE)</t>
  </si>
  <si>
    <t>SPDO-TME-P-23-00004</t>
  </si>
  <si>
    <t>Each One Teach one Educational Programme in the State</t>
  </si>
  <si>
    <t>SPDO-TSU-P-23-00005</t>
  </si>
  <si>
    <t>Revolving Fund for Illiteracy Education in the State</t>
  </si>
  <si>
    <t>Education sector coordination mechanisms</t>
  </si>
  <si>
    <t>SPDO-TPS-P-23-00001</t>
  </si>
  <si>
    <t>Physical Infrastructure/Programme Upgrade (TETFund)</t>
  </si>
  <si>
    <t>Taraba State Polytechnic, Suntai</t>
  </si>
  <si>
    <t>SPDO-TPS-P-23-00002</t>
  </si>
  <si>
    <t>Const./Provision of Classrooms &amp; Hostels (TETFund)</t>
  </si>
  <si>
    <t>SPDO-TPS-P-23-00003</t>
  </si>
  <si>
    <t>Accreditation of Courses</t>
  </si>
  <si>
    <t>SPDO-TPS-P-23-00004</t>
  </si>
  <si>
    <t>Library Development (TETFund)</t>
  </si>
  <si>
    <t>SPDO-TPS-P-23-00005</t>
  </si>
  <si>
    <t>Provision of Research and Development Programe (TETFund)</t>
  </si>
  <si>
    <t>Research and development</t>
  </si>
  <si>
    <t>SPDO-TPS-P-23-00006</t>
  </si>
  <si>
    <t>Academic Staff Training General (TETFund)</t>
  </si>
  <si>
    <t>SPDO-TPS-P-23-00007</t>
  </si>
  <si>
    <t>Construction and Infrastructure of TETFund Projects and Monitoring (TETFund)</t>
  </si>
  <si>
    <t>SPDO-TPS-P-23-00008</t>
  </si>
  <si>
    <t>Equipment Fabrications (TETFund)</t>
  </si>
  <si>
    <t>SPDO-TPS-P-23-00009</t>
  </si>
  <si>
    <t>Purchase of ICT Support Equipment (TETFund)</t>
  </si>
  <si>
    <t>SPDO-TPS-P-23-00010</t>
  </si>
  <si>
    <t>Publication of Journals (TETFund)</t>
  </si>
  <si>
    <t>SPDO-TPS-P-23-00011</t>
  </si>
  <si>
    <t>Manuscript Development (TETFund)</t>
  </si>
  <si>
    <t>SPDO-TPS-P-23-00012</t>
  </si>
  <si>
    <t>Purchase of Furniture and Equipment</t>
  </si>
  <si>
    <t>Furnishing</t>
  </si>
  <si>
    <t>SPDO-TPS-P-23-00013</t>
  </si>
  <si>
    <t>Provision for Conference Attendance</t>
  </si>
  <si>
    <t>SPDO-TPS-P-23-00014</t>
  </si>
  <si>
    <t>Sabatical Leave Grants</t>
  </si>
  <si>
    <t>Education Not Elsewhere Classified</t>
  </si>
  <si>
    <t>SPDO-BTS-P-23-00001</t>
  </si>
  <si>
    <t>Payment of Domestic Scholarships</t>
  </si>
  <si>
    <t>Taraba State Scholarship Board</t>
  </si>
  <si>
    <t>SPDO-BTS-P-23-00002</t>
  </si>
  <si>
    <t>Payment of Consolidated Scholarships</t>
  </si>
  <si>
    <t>SPDO-BTS-P-23-00003</t>
  </si>
  <si>
    <t>Payment of Scholarships for Physically Challenge Students</t>
  </si>
  <si>
    <t>SPDO-BTS-P-23-00004</t>
  </si>
  <si>
    <t>Payment of Foreign Scholarships</t>
  </si>
  <si>
    <t>SPDO-TSJ-P-23-00001</t>
  </si>
  <si>
    <t>Provision of High Tech and Modern Medical Equipment at Specialist Hospital, Jalingo</t>
  </si>
  <si>
    <t>Taraba State Specialist Hospital, Jalingo</t>
  </si>
  <si>
    <t>SPDO-TSJ-P-23-00002</t>
  </si>
  <si>
    <t>Construction of Roads within Specialist Hospital, Jalingo</t>
  </si>
  <si>
    <t>SPDO-TSJ-P-23-00003</t>
  </si>
  <si>
    <t>Provision of Incinerator for Waste Management Disposal at Specialist Hospital, Jalingo</t>
  </si>
  <si>
    <t>SPDO-TSJ-P-23-00004</t>
  </si>
  <si>
    <t>Extension of Power Supply/Rehabilitation/Repairs</t>
  </si>
  <si>
    <t xml:space="preserve">Industry, Innovation and Infrastructure
 </t>
  </si>
  <si>
    <t>SPDO-TSJ-P-23-00005</t>
  </si>
  <si>
    <t>Provision of Solar Light within Specialist Hospital, Jalingo</t>
  </si>
  <si>
    <t>SPDO-NEP-P-23-00001</t>
  </si>
  <si>
    <t>Baseline Survey &amp; Poverty Mapping</t>
  </si>
  <si>
    <t>NEPAD Taraba Coordinating Unit</t>
  </si>
  <si>
    <t>SPDO-NEP-P-23-00002</t>
  </si>
  <si>
    <t>Provision for Women in Aquaculture Programme in the State</t>
  </si>
  <si>
    <t>SPDO-NEP-P-23-00003</t>
  </si>
  <si>
    <t>Office Development/Construction</t>
  </si>
  <si>
    <t>SPDO-NEP-P-23-00004</t>
  </si>
  <si>
    <t>Gender &amp; Climate Change SMART Agriculture</t>
  </si>
  <si>
    <t>SPDO-NEP-P-23-00005</t>
  </si>
  <si>
    <t>Establishment of NEPAD Youth Clubs in Secondary Schools</t>
  </si>
  <si>
    <t>SPDO-NEP-P-23-00006</t>
  </si>
  <si>
    <t>Provision of ICT for Youth Initiative</t>
  </si>
  <si>
    <t>SPDO-NEP-P-23-00007</t>
  </si>
  <si>
    <t>NEPAD Resource Centre in Jalingo</t>
  </si>
  <si>
    <t>SPDO-ODG-P-23-00001</t>
  </si>
  <si>
    <t>Renovation and Furnishing of Office &amp; Guest House of the Deputy Governor</t>
  </si>
  <si>
    <t>Office of the Deputy Governor</t>
  </si>
  <si>
    <t>Office</t>
  </si>
  <si>
    <t>SPDO-OEG-P-23-00001</t>
  </si>
  <si>
    <t>Renovation of Government House Jalingo and Government Lodges</t>
  </si>
  <si>
    <t>Office of the Executive Governor</t>
  </si>
  <si>
    <t>SPDO-HSC-P-23-00001</t>
  </si>
  <si>
    <t>Renovation of Secretariate Complex &amp; Extension</t>
  </si>
  <si>
    <t>Rehabilitation/Remodeling of General Sani Abacha State Secretariat Complex, Jalingo</t>
  </si>
  <si>
    <t>Office of the Head of Service (Career Management)</t>
  </si>
  <si>
    <t>Office of the Head of Service</t>
  </si>
  <si>
    <t>SPDO-HSC-P-23-00002</t>
  </si>
  <si>
    <t>Construction of the Office of the Head of Service</t>
  </si>
  <si>
    <t>SPDO-HSC-P-23-00003</t>
  </si>
  <si>
    <t>Contruction of State &amp; Local Auditor General</t>
  </si>
  <si>
    <t>SPDO-HSC-P-23-00004</t>
  </si>
  <si>
    <t xml:space="preserve">Contruction of Minisrty of Justice Office </t>
  </si>
  <si>
    <t>SPDO-HSD-P-23-00008</t>
  </si>
  <si>
    <t>Purchase  and Stocking of Books in the Resource center</t>
  </si>
  <si>
    <t>Office of the Head of Service (Manpower Development)</t>
  </si>
  <si>
    <t>SPDO-HSD-P-23-00009</t>
  </si>
  <si>
    <t>Provision for Research and Development</t>
  </si>
  <si>
    <t xml:space="preserve">  Economic and Job Creation
 </t>
  </si>
  <si>
    <t>SPDO-HSD-P-23-00010</t>
  </si>
  <si>
    <t>ASCON State Government Officers Engagement</t>
  </si>
  <si>
    <t>SPDO-OSG-P-23-00001</t>
  </si>
  <si>
    <t>Purchase of Fixed Assets/Materials General</t>
  </si>
  <si>
    <t>Purchase of Senator Anthony Manzo residence, Zing</t>
  </si>
  <si>
    <t>Office of the SGS - General Services</t>
  </si>
  <si>
    <t>Office of the SGS</t>
  </si>
  <si>
    <t>SPDO-OSG-P-23-00002</t>
  </si>
  <si>
    <t>Renovation &amp; Furnishing of State Liaison Offices</t>
  </si>
  <si>
    <t>SPDO-OSG-P-23-00003</t>
  </si>
  <si>
    <t>Coordination and implementation of UNICEF activities</t>
  </si>
  <si>
    <t>SPDO-OSG-P-23-00004</t>
  </si>
  <si>
    <t>Capital Subvention to Yangtu Special Development Area.</t>
  </si>
  <si>
    <t xml:space="preserve"> Economic and Job Creation
 </t>
  </si>
  <si>
    <t>SPDO-OSG-P-23-00005</t>
  </si>
  <si>
    <t>Capital Subvention to NGADA Special Development Area.</t>
  </si>
  <si>
    <t>SPDO-OSG-P-23-00006</t>
  </si>
  <si>
    <t>Purchase of 100No. Computers to be Distributed to all the MDAs in the State</t>
  </si>
  <si>
    <t>SPDO-OSG-P-23-00007</t>
  </si>
  <si>
    <t>Construction of New Governors Lodge in Gembu</t>
  </si>
  <si>
    <t>Remodelling &amp; Construction of Alli at Government Lodge Gembu</t>
  </si>
  <si>
    <t>SPDO-OSG-P-23-00008</t>
  </si>
  <si>
    <t>Construction of New Governors Lodge in Kakara</t>
  </si>
  <si>
    <t>Construction of Government Lodge, Kakara</t>
  </si>
  <si>
    <t>SPDO-OSG-P-23-00009</t>
  </si>
  <si>
    <t>Upgrading and Construction of Additional Structures in the Government Guest House Wukari</t>
  </si>
  <si>
    <t>SPDO-OSG-P-23-00010</t>
  </si>
  <si>
    <t>Construction of One Store Building for Government Lodge Takum</t>
  </si>
  <si>
    <t>Remodeling &amp; construction of additional structure at Government Lodge, Takum</t>
  </si>
  <si>
    <t>SPDO-OSG-P-23-00011</t>
  </si>
  <si>
    <t>Renovation and Fencing of Government Lodge 77 in Yola</t>
  </si>
  <si>
    <t>Yola</t>
  </si>
  <si>
    <t>SPDO-OSG-P-23-00012</t>
  </si>
  <si>
    <t>Construction and Renovation of Government Guest House Bali</t>
  </si>
  <si>
    <t>Remodelling and Reconstructution of Additional Structure at Government House, Bali</t>
  </si>
  <si>
    <t>SPDO-OSG-P-23-00013</t>
  </si>
  <si>
    <t xml:space="preserve">Purchase of Residential Buildings to be Converted as Government Guest Houses </t>
  </si>
  <si>
    <t>Purchase of Abubakar Barde House, Jalingo</t>
  </si>
  <si>
    <t>SPDO-OSG-P-23-00014</t>
  </si>
  <si>
    <t>Purchase of 20No. Furniture and Fittings at Secretary to the State Government Office</t>
  </si>
  <si>
    <t>SPDO-OSG-P-23-00015</t>
  </si>
  <si>
    <t>Provision of Additional Government Houses as Residential Building for Federal Agencies Staff</t>
  </si>
  <si>
    <t>SPDO-OSG-P-23-00016</t>
  </si>
  <si>
    <t xml:space="preserve">Renovation of Wukari and Gembu Government Lodges </t>
  </si>
  <si>
    <t>Wukari, Sardauna</t>
  </si>
  <si>
    <t>SPDO-OSG-P-23-00017</t>
  </si>
  <si>
    <t>Purchase of Building to expand Government Buiilding</t>
  </si>
  <si>
    <t>Purchase of twin building opposite Presidential Lodge, Jalingo</t>
  </si>
  <si>
    <t>SPDO-OSH-P-23-00001</t>
  </si>
  <si>
    <t>Procurement of Foam Chemical Compound/Fire fighting tool</t>
  </si>
  <si>
    <t>Office of the SGS - Home Affairs &amp; Special Services</t>
  </si>
  <si>
    <t xml:space="preserve"> Security, Peace, and Unity</t>
  </si>
  <si>
    <t>SPDO-OSH-P-23-00002</t>
  </si>
  <si>
    <t>Servicing &amp; Installation of Fire Extinguishers</t>
  </si>
  <si>
    <t>SPDO-OSH-P-23-00003</t>
  </si>
  <si>
    <t>Procurement of Uniforms &amp; Accessories for 150 Personnel</t>
  </si>
  <si>
    <t>SPDO-OSH-P-23-00004</t>
  </si>
  <si>
    <t>Purchase of 2No. Fire Fighting Engines</t>
  </si>
  <si>
    <t>SPDO-OSH-P-23-00005</t>
  </si>
  <si>
    <t>Purchase of Marshal's Kitting</t>
  </si>
  <si>
    <t>SPDO-OSH-P-23-00006</t>
  </si>
  <si>
    <t>Provision for Intellegience Gathering and Sharing</t>
  </si>
  <si>
    <t>SPDO-OSH-P-23-00007</t>
  </si>
  <si>
    <t>Engagement of Air Force/Air Surveillance</t>
  </si>
  <si>
    <t>SPDO-OSH-P-23-00008</t>
  </si>
  <si>
    <t>Support to Taraba Security Outfit (Marshall)</t>
  </si>
  <si>
    <t>SPDO-OSH-P-23-00009</t>
  </si>
  <si>
    <t>Equipping &amp; Support to Federal Troops</t>
  </si>
  <si>
    <t>SPDO-OSH-P-23-00010</t>
  </si>
  <si>
    <t>Procurement of 36No. Surveillance Drones</t>
  </si>
  <si>
    <t>SPDO-OSH-P-23-00011</t>
  </si>
  <si>
    <t>Radio System</t>
  </si>
  <si>
    <t>SPDO-OSH-P-23-00012</t>
  </si>
  <si>
    <t>Logistics for Clearance Operations</t>
  </si>
  <si>
    <t>SPDO-OSH-P-23-00013</t>
  </si>
  <si>
    <t>Early Warning, Early Response (EWERs)</t>
  </si>
  <si>
    <t>SPDO-PHC-P-23-00001</t>
  </si>
  <si>
    <t>Construction of Taraba State PHCDA Permanent Site</t>
  </si>
  <si>
    <t>Primary Health Care Development Agency, Jalingo</t>
  </si>
  <si>
    <t>SPDO-PHC-P-23-00002</t>
  </si>
  <si>
    <t>Utilisation of Essential Package of Health Care Services</t>
  </si>
  <si>
    <t>SPDO-PHC-P-23-00003</t>
  </si>
  <si>
    <t>Purchase of Furniture and Office Equipment</t>
  </si>
  <si>
    <t>SPDO-PHC-P-23-00004</t>
  </si>
  <si>
    <t>Health sector coordination mechanisms</t>
  </si>
  <si>
    <t>SPDO-PHC-P-23-00005</t>
  </si>
  <si>
    <t>Coordination of Basic Health Care Provision Fund</t>
  </si>
  <si>
    <t>SPDO-PHC-P-23-00006</t>
  </si>
  <si>
    <t>Coordination Funding for GAVI Activities in the State</t>
  </si>
  <si>
    <t>SPDO-PHC-P-23-00007</t>
  </si>
  <si>
    <t>Coordination of UNICEF Activities in the State</t>
  </si>
  <si>
    <t>SPDO-PHC-P-23-00008</t>
  </si>
  <si>
    <t>Upgrading of Health Facilities 48No. across the State</t>
  </si>
  <si>
    <t>SPDO-PHC-P-23-00009</t>
  </si>
  <si>
    <t>Construction of Model Primary Health Care Centre Level 2 (Lau PHCC)</t>
  </si>
  <si>
    <t>SPDO-PHC-P-23-00010</t>
  </si>
  <si>
    <t>Construction of Model Primary Health Care Centre Level 2 (Ndaforo PHCC)</t>
  </si>
  <si>
    <t>SPDO-TSA-P-23-00011</t>
  </si>
  <si>
    <t>Construction of Model Primary Health Care Centre Level 2 (Byegya PHCC)</t>
  </si>
  <si>
    <t>SPDO-RWA-P-23-00001</t>
  </si>
  <si>
    <t>Coordinatioon of State Inclusive Basic Service Delivery, Livelihood &amp; Empowerment Integrated Programme</t>
  </si>
  <si>
    <t>Rural Water Supply &amp; Sanitation Agency</t>
  </si>
  <si>
    <t>Ministry of Water Management and Aquatic Affairs</t>
  </si>
  <si>
    <t>Water Resources and Rural Deve - General</t>
  </si>
  <si>
    <t>SPDO-RWA-P-23-00002</t>
  </si>
  <si>
    <t>Purchase of Water, Sanitation and Hygien Equipment in the State</t>
  </si>
  <si>
    <t>SPDO-RWA-P-23-00003</t>
  </si>
  <si>
    <t>Coordination of Livelihoodand Empowerment Activities at the State Level</t>
  </si>
  <si>
    <t>SPDO-SMA-P-23-00001</t>
  </si>
  <si>
    <t>Provision for Emergency and Disaster Occurrence and Relief Materials</t>
  </si>
  <si>
    <t>State Emergency Management Agency</t>
  </si>
  <si>
    <t xml:space="preserve"> Peace, Justice and Strong Institutions</t>
  </si>
  <si>
    <t>SPDO-SIE-P-23-00002</t>
  </si>
  <si>
    <t>Construction of Office Secretariat, Jalingo</t>
  </si>
  <si>
    <t>State Independent Electoral Commission (SIEC)</t>
  </si>
  <si>
    <t>INEC Office</t>
  </si>
  <si>
    <t>SPDO-SIE-P-23-00003</t>
  </si>
  <si>
    <t>Establishment of Database at the HQ Office</t>
  </si>
  <si>
    <t>SPDO-UBE-P-23-00001</t>
  </si>
  <si>
    <t>UBEC Intervention in Schools Infrastructural Projects</t>
  </si>
  <si>
    <t>State Universal Basic Education Board</t>
  </si>
  <si>
    <t>SPDO-TAD-P-23-00001</t>
  </si>
  <si>
    <t>Agricultural Extension Services in the State</t>
  </si>
  <si>
    <t>Taraba Agricultural Devt. Project (TADP)</t>
  </si>
  <si>
    <t>Animal health and livestock diseases management</t>
  </si>
  <si>
    <t>SPDO-TAD-P-23-00002</t>
  </si>
  <si>
    <t>Renovation of Farm Training Centre</t>
  </si>
  <si>
    <t xml:space="preserve">Capacity building for stakeholders and professional human resources development </t>
  </si>
  <si>
    <t>SPDO-TAD-P-23-00003</t>
  </si>
  <si>
    <t>Agric - Technical Services</t>
  </si>
  <si>
    <t>SPDO-TAD-P-23-00004</t>
  </si>
  <si>
    <t>Purchase of Vinach, Glyspreng and 24D Amine for Control of Herbicides in the State</t>
  </si>
  <si>
    <t xml:space="preserve"> Life On Land</t>
  </si>
  <si>
    <t>SPDO-TAD-P-23-00005</t>
  </si>
  <si>
    <t>Planning, Monitoring &amp; Evaluation Activities</t>
  </si>
  <si>
    <t>SPDO-TAD-P-23-00006</t>
  </si>
  <si>
    <t>Procurement of Animal Drawn Plows &amp; Ridges</t>
  </si>
  <si>
    <t>SPDO-TAD-P-23-00007</t>
  </si>
  <si>
    <t>Procurement of Irrigation Pumps</t>
  </si>
  <si>
    <t>SPDO-TAD-P-23-00008</t>
  </si>
  <si>
    <t>Agriculture Programme Not Elsewhere Classified</t>
  </si>
  <si>
    <t>SPDO-TAD-P-23-00009</t>
  </si>
  <si>
    <t>Electrification of Office Building</t>
  </si>
  <si>
    <t>SPDO-TAD-P-23-00010</t>
  </si>
  <si>
    <t>Purchase of Work Bulls</t>
  </si>
  <si>
    <t>Intensive crop and vegetable production (irrigation, crop diversification etc.)</t>
  </si>
  <si>
    <t>SPDO-TAD-P-23-00011</t>
  </si>
  <si>
    <t>Procurement of Tubewells &amp; Washbores Equipment</t>
  </si>
  <si>
    <t>SPDO-TAD-P-23-00012</t>
  </si>
  <si>
    <t>Compensation of Farm Training Centre Land</t>
  </si>
  <si>
    <t>SPDO-TCM-P-23-00001</t>
  </si>
  <si>
    <t xml:space="preserve">Production of 50,000No. Security PT-Code Stickers </t>
  </si>
  <si>
    <t>Taraba Commercial Motorcycle &amp; Monitoring Agency</t>
  </si>
  <si>
    <t>Ministry of Transport and Development</t>
  </si>
  <si>
    <t>SPDO-TCM-P-23-00002</t>
  </si>
  <si>
    <t>Production of 50,000No. Customized Reflective Jackets</t>
  </si>
  <si>
    <t xml:space="preserve"> Peace, Justice and Strong Institutions
 </t>
  </si>
  <si>
    <t>SPDO-TCM-P-23-00003</t>
  </si>
  <si>
    <t>Purchase of 20No. Tricycles</t>
  </si>
  <si>
    <t>SPDO-TST-P-23-00001</t>
  </si>
  <si>
    <t>Renovation of Mechanical Workshop</t>
  </si>
  <si>
    <t>Taraba State Transport Corporation</t>
  </si>
  <si>
    <t>SPDO-TST-P-23-00002</t>
  </si>
  <si>
    <t>Purchase Workshop Machines and Equipment</t>
  </si>
  <si>
    <t>SPDO-TST-P-23-00003</t>
  </si>
  <si>
    <t>Procurement of 10No. 18-Seater Buses</t>
  </si>
  <si>
    <t>SPDO-TSU-P-23-00001</t>
  </si>
  <si>
    <t>Construction of 2No. Office Building at State University, Jalingo</t>
  </si>
  <si>
    <t>Taraba State University, Jalingo</t>
  </si>
  <si>
    <t>SPDO-TSU-P-23-00002</t>
  </si>
  <si>
    <t xml:space="preserve">Construction of Residential Quarters at TSU, Jalingo </t>
  </si>
  <si>
    <t>SPDO-TSU-P-23-00003</t>
  </si>
  <si>
    <t>Construction of Sporting Facilities at TSU</t>
  </si>
  <si>
    <t>SPDO-TSU-P-23-00004</t>
  </si>
  <si>
    <t xml:space="preserve">University Infrastructures Facilities </t>
  </si>
  <si>
    <t>Rehabilitation of Water Facilities</t>
  </si>
  <si>
    <t>SPDO-TSU-P-23-00006</t>
  </si>
  <si>
    <t>Tree Planting and Afforestation</t>
  </si>
  <si>
    <t>SPDO-TSU-P-23-00007</t>
  </si>
  <si>
    <t>Erosion and Flood Control</t>
  </si>
  <si>
    <t>SPDO-TSU-P-23-00008</t>
  </si>
  <si>
    <t>Purchase of Motor Vehicle</t>
  </si>
  <si>
    <t>SPDO-TSU-P-23-00009</t>
  </si>
  <si>
    <t>Purchase of Furniture and Fittings</t>
  </si>
  <si>
    <t>SPDO-TSU-P-23-00010</t>
  </si>
  <si>
    <t>Purchase of Computers, Printers and Photocopying Machine (TETFund)</t>
  </si>
  <si>
    <t>SPDO-TSU-P-23-00011</t>
  </si>
  <si>
    <t>Purchase of Power Generating Plant</t>
  </si>
  <si>
    <t>SPDO-TSU-P-23-00012</t>
  </si>
  <si>
    <t>Purchase of Health and Medical Equipment</t>
  </si>
  <si>
    <t>SPDO-TSU-P-23-00013</t>
  </si>
  <si>
    <t xml:space="preserve">Purchase of Teaching and Learning Aids Equipment </t>
  </si>
  <si>
    <t>SPDO-TSU-P-23-00014</t>
  </si>
  <si>
    <t>Purchase of Agricultural Equipment</t>
  </si>
  <si>
    <t>SPDO-TSU-P-23-00015</t>
  </si>
  <si>
    <t>Purchase of Surveying Equipment</t>
  </si>
  <si>
    <t>SPDO-TSU-P-23-00016</t>
  </si>
  <si>
    <t>Accreditation of 57No. Courses at the State University, Jalingo</t>
  </si>
  <si>
    <t>To afford the institution with courses recognized by NUC</t>
  </si>
  <si>
    <t>31/12/2023</t>
  </si>
  <si>
    <t>Renovation of Hostels at the State University, Jalingo</t>
  </si>
  <si>
    <t>SPDO-THU-P-23-00001</t>
  </si>
  <si>
    <t>Repair of Tractors</t>
  </si>
  <si>
    <t>Tractor Hiring Unit (THU)</t>
  </si>
  <si>
    <t>Ministry Agriculture and Food Security</t>
  </si>
  <si>
    <t>SPDO-THU-P-23-00002</t>
  </si>
  <si>
    <t>Purchase of Disc Plough</t>
  </si>
  <si>
    <t>SPDO-THU-P-23-00003</t>
  </si>
  <si>
    <t>Purchase of Disc Harrow</t>
  </si>
  <si>
    <t>SPDO-THU-P-23-00004</t>
  </si>
  <si>
    <t>Renovation of Central Workshop at Jalingo</t>
  </si>
  <si>
    <t>SPDO-THU-P-23-00005</t>
  </si>
  <si>
    <t>Reconstruction of 2No. Workshops at Bali/Wukari</t>
  </si>
  <si>
    <t>Bali, Wukari</t>
  </si>
  <si>
    <t>SPDO-THU-P-23-00006</t>
  </si>
  <si>
    <t>Renovation of Office Blocks</t>
  </si>
  <si>
    <t>SPDO-THU-P-23-00007</t>
  </si>
  <si>
    <t>Purchase of 1No. Tool Box (Heavy Duty)</t>
  </si>
  <si>
    <t>SPDO-THU-P-23-00008</t>
  </si>
  <si>
    <t>Complete Engine Spare Parts</t>
  </si>
  <si>
    <t>SPDO-THU-P-23-00009</t>
  </si>
  <si>
    <t>Implement Spare Parts</t>
  </si>
  <si>
    <t>SPDO-THU-P-23-00010</t>
  </si>
  <si>
    <t>Purchase of Workshop Tools &amp; Equipment</t>
  </si>
  <si>
    <t>SPDO-THU-P-23-00011</t>
  </si>
  <si>
    <t>Purchase of Equipped Mobile Workshops (3No)</t>
  </si>
  <si>
    <t>SPDO-THU-P-23-00012</t>
  </si>
  <si>
    <t>Purchase of Vehicles for Monitoring Activites</t>
  </si>
  <si>
    <t>SPDO-THU-P-23-00013</t>
  </si>
  <si>
    <t>Repair of Crane Lorry</t>
  </si>
  <si>
    <t>SPDO-THU-P-23-00014</t>
  </si>
  <si>
    <t>Repair of 2No. Combine Harvester</t>
  </si>
  <si>
    <t>SPDO-THU-P-23-00015</t>
  </si>
  <si>
    <t>Construction of 4No. Area &amp; 2 Development Area Offices</t>
  </si>
  <si>
    <t>SPDO-THU-P-23-00016</t>
  </si>
  <si>
    <t>Purchase of ICT Equipment for Office Use at THU Office</t>
  </si>
  <si>
    <t>SPDO-OAS-P-23-00004</t>
  </si>
  <si>
    <t>Inspection and Evaluation of Government Projects</t>
  </si>
  <si>
    <t>Office of the Auditor General (State)</t>
  </si>
  <si>
    <t>Office of the Auditor General</t>
  </si>
  <si>
    <t>SPDO-MST-P-23-00010</t>
  </si>
  <si>
    <t>Basic Science Kits</t>
  </si>
  <si>
    <t>Provision of Science Equipments in schools</t>
  </si>
  <si>
    <t>SPDO-MED-P-23-00045</t>
  </si>
  <si>
    <t>Other maintenance services for schools</t>
  </si>
  <si>
    <t>To provide running Cost for the up-keep of primary and secondary schools in the State</t>
  </si>
  <si>
    <t>SPDO-MED-P-23-00046</t>
  </si>
  <si>
    <t>Accreditation of courses in COE</t>
  </si>
  <si>
    <t>To afford the institution with courses recognized by NCCE</t>
  </si>
  <si>
    <t xml:space="preserve">Purcahse of Drugs and Medicines, Hospital Consumables </t>
  </si>
  <si>
    <t>Drugs was distributed across public hospitals to improve treatment services within the State</t>
  </si>
  <si>
    <t>30/10/2023</t>
  </si>
  <si>
    <t>SPDO-MTR-P-23-00001</t>
  </si>
  <si>
    <t>Expansion and upgrade (engineering design, as well as the rehabilitation of the existing runway, the permeter fence and the construction of erosion measure</t>
  </si>
  <si>
    <t>Increase flight operation, thereby enhancing ease of doing business</t>
  </si>
  <si>
    <t>30/06/2025</t>
  </si>
  <si>
    <t>SPDO-MTR-P-23-00011</t>
  </si>
  <si>
    <t>Expension and upgrade (rehabiliation of VIP Toilet</t>
  </si>
  <si>
    <t>To improve sanitary condition</t>
  </si>
  <si>
    <t>SPDO-MTR-P-23-00012</t>
  </si>
  <si>
    <t>Expansion and upgrade (Expansion/Extension of the VIP lounge) of the Dan-Baba Suntai Airport, Jalingo</t>
  </si>
  <si>
    <t>Create conductive environment</t>
  </si>
  <si>
    <t>SPDO-MTR-P-23-00013</t>
  </si>
  <si>
    <t>Expansion and upgrade (supply, delivery services for the relocation of the automatic wenther observation system (AWOS) and other provision of navigational accessories as well as and rehabilitation) at the Dan-Baba Suntai Airport, Jalingo</t>
  </si>
  <si>
    <t>Resumption of flight operation at the airport</t>
  </si>
  <si>
    <t>SPDO-MED-P-23-00007</t>
  </si>
  <si>
    <t>Renovation of TASU hostel</t>
  </si>
  <si>
    <t>To afford the institution with accommodation for Students</t>
  </si>
  <si>
    <t>SPDO-MED-P-23-00008</t>
  </si>
  <si>
    <t>Accreditation of courses in TSU</t>
  </si>
  <si>
    <t>SPDO-MSJ-P-23-00001</t>
  </si>
  <si>
    <t>Renovation and furnishing of Area Social Justice and Re-Integration offices in Wukari, and Gembu</t>
  </si>
  <si>
    <t>To enable our Area Office staff work conductively and also generate more revenue to the Government Treasury.</t>
  </si>
  <si>
    <t>30/11/2024</t>
  </si>
  <si>
    <t>SPDO-MST-P-23-00013</t>
  </si>
  <si>
    <t>Science Kits</t>
  </si>
  <si>
    <t>To equip selected science senior secondary schools across with state with modern day up-to_x0002_date science kits for laboratories.</t>
  </si>
  <si>
    <t>SPDO-MST-P-23-00014</t>
  </si>
  <si>
    <t>JETS</t>
  </si>
  <si>
    <t>To promote Engineering, Technology and Science in Primary and Secondary schools.</t>
  </si>
  <si>
    <t>SPDO-MST-P-23-00015</t>
  </si>
  <si>
    <t>YSPA</t>
  </si>
  <si>
    <t>To identify young talents among students in the state and country at large</t>
  </si>
  <si>
    <t>SPDO-MST-P-23-00016</t>
  </si>
  <si>
    <t>AI Conference in Borno State</t>
  </si>
  <si>
    <t>To acquire background knowledge of AI</t>
  </si>
  <si>
    <t>SPDO-MST-P-23-00017</t>
  </si>
  <si>
    <t>National Science, Technology and Innovation Expo</t>
  </si>
  <si>
    <t>To showcase STI among states, MDAs and NGOs.</t>
  </si>
  <si>
    <t>SPDO-MJT-P-23-00006</t>
  </si>
  <si>
    <t>Council for Prevogative of Mercy</t>
  </si>
  <si>
    <t>Jalingo, Wukari, Sardauna, Gassol, Zing, Bali, Gashaka, Takum, Kurmi</t>
  </si>
  <si>
    <t>SPDO-MJT-P-23-00007</t>
  </si>
  <si>
    <t>Codification and Review of Laws of Taraba State</t>
  </si>
  <si>
    <t>Codification/Laws Review and Law Books Purchase of Taraba State from 1991 to Date</t>
  </si>
  <si>
    <t>SPDO-MJT-P-23-00008</t>
  </si>
  <si>
    <t>Implementation of Executive Order  No. 5</t>
  </si>
  <si>
    <t>Implementation of Executive Order  No. 5 on Mining Regulations</t>
  </si>
  <si>
    <t>SPDO-MJT-P-23-00009</t>
  </si>
  <si>
    <t>Construction of the Ministry Headquarters in Jalingo</t>
  </si>
  <si>
    <t>SPDO-MED-P-23-00009</t>
  </si>
  <si>
    <t xml:space="preserve"> International travel</t>
  </si>
  <si>
    <t>Educational Study tour to Finland</t>
  </si>
  <si>
    <t>SPDO-MED-P-23-00010</t>
  </si>
  <si>
    <t>International travel</t>
  </si>
  <si>
    <t>28/02/2024</t>
  </si>
  <si>
    <t>SPDO-MWC-P-23-00009</t>
  </si>
  <si>
    <t>Feeding and other needs for 18 trafficked children
Protection</t>
  </si>
  <si>
    <t>Protection</t>
  </si>
  <si>
    <t>19/1/2024</t>
  </si>
  <si>
    <t>SPDO-MWC-P-23-00015</t>
  </si>
  <si>
    <t>For upkeep of children quarterly release</t>
  </si>
  <si>
    <t>SPDO-MWC-P-23-00016</t>
  </si>
  <si>
    <t>W/shop at Abuja on ICT and Cyber</t>
  </si>
  <si>
    <t>Awareness ICT</t>
  </si>
  <si>
    <t>24/10/2023</t>
  </si>
  <si>
    <t>26/10/2023</t>
  </si>
  <si>
    <t>SPDO-MWC-P-23-00017</t>
  </si>
  <si>
    <t>VAAP Campaign/Women &amp; Children Protection in Emergency (GBV)/’]</t>
  </si>
  <si>
    <t xml:space="preserve">Protection of Women &amp; Children against Gender Based Violence etc </t>
  </si>
  <si>
    <t>SPDO-MWC-P-23-00018</t>
  </si>
  <si>
    <t>Celebration of Women Day</t>
  </si>
  <si>
    <t>SPDO-MWC-P-23-00019</t>
  </si>
  <si>
    <t>Release of Tuition Fee to London</t>
  </si>
  <si>
    <t>Leadership
Training</t>
  </si>
  <si>
    <t>SPDO-MWC-P-23-00020</t>
  </si>
  <si>
    <t>DTA to Hon. Comm. To attend 6855ng UN</t>
  </si>
  <si>
    <t>Acceleration of
Gender Equality</t>
  </si>
  <si>
    <t>22/03/2024</t>
  </si>
  <si>
    <t>SPDO-MWC-P-23-00021</t>
  </si>
  <si>
    <t>16 Days Activism</t>
  </si>
  <si>
    <t>SPDO-MWC-P-23-00022</t>
  </si>
  <si>
    <t>Renovation of Shelter home at Tecnobat</t>
  </si>
  <si>
    <t>Child Protection</t>
  </si>
  <si>
    <t>28/12/2024</t>
  </si>
  <si>
    <t>SPDO-MIR-P-23-00027</t>
  </si>
  <si>
    <t xml:space="preserve">Printing of Diaries, Calendars &amp; Paper Handbags </t>
  </si>
  <si>
    <t>Educative and Research Purposes</t>
  </si>
  <si>
    <t>49,000,000:00</t>
  </si>
  <si>
    <t>SPDO-MDI-P-23-00013</t>
  </si>
  <si>
    <t>The Taraba State Digital transformation shop</t>
  </si>
  <si>
    <t>Serve as one stop shop for every 
Data Centre for adoption of E-governance
Pay station for provision of internet services for MDAs
Monitor Traffic (CCTV)</t>
  </si>
  <si>
    <t>SPDO-MDI-P-23-00014</t>
  </si>
  <si>
    <t>Contribution to IGR Secure a deal with Computer Warehouse Group (CWG) in Collaboration with Ministries of Finance, Justice and Board of Internal Revenue</t>
  </si>
  <si>
    <t>Less than 3m
Focast 150m revenue
Working with other Ministries and Agencies</t>
  </si>
  <si>
    <t>SPDO-MCP-P-23-00003</t>
  </si>
  <si>
    <t>TR-CARES Special Grant Transfer</t>
  </si>
  <si>
    <t>To Cushion the Effects of COVID-19 Pandemic Amongs the Economically Active Youths and Women Between the Ages of 18-45 Cross the State</t>
  </si>
  <si>
    <t>SPDO-MCP-P-23-00001</t>
  </si>
  <si>
    <t>Monitoring of skills Acquisition Centres</t>
  </si>
  <si>
    <t>To Access the number and state of the Centres in the State</t>
  </si>
  <si>
    <t>14/02/2024</t>
  </si>
  <si>
    <t>SPDO-MCP-P-23-00008</t>
  </si>
  <si>
    <t>Trip to Abuja for Signing of MoU for the Transfer of Skills Acquisition Centre in Ibi From the Federal Ministry of Labour and Employment</t>
  </si>
  <si>
    <t>To Formally Sign an MoU with the Ministry for Official Transfer of the Skills Acquisition Centre Built by The Federal Govenrment to the State</t>
  </si>
  <si>
    <t>31/08/2023</t>
  </si>
  <si>
    <t>SPDO-MWI-P-23-00037</t>
  </si>
  <si>
    <t>Reconstruction of the three cell box culvert at furmi village nguroje constituency,sadauna LGA</t>
  </si>
  <si>
    <t>Link furmi and nguroje village</t>
  </si>
  <si>
    <t>15/04/2024</t>
  </si>
  <si>
    <t>SPDO-MWI-P-23-00038</t>
  </si>
  <si>
    <t>Remodeling/ renovation of presidential loadge</t>
  </si>
  <si>
    <t xml:space="preserve">
1,734,763,553.53</t>
  </si>
  <si>
    <t>SPDO-MWI-P-23-00039</t>
  </si>
  <si>
    <t>Construction of seven bedroom duplex at old governors lodge wukari</t>
  </si>
  <si>
    <t>Provided safety accommodation</t>
  </si>
  <si>
    <t>SPDO-MWI-P-23-00040</t>
  </si>
  <si>
    <t>Renovation of quarters at DDI garden for air force</t>
  </si>
  <si>
    <t>SPDO-MWI-P-23-00041</t>
  </si>
  <si>
    <t>Additional power light DDI house government loadge wukari</t>
  </si>
  <si>
    <t>To provide light to government loadge</t>
  </si>
  <si>
    <t>SPDO-MAG-P-23-00001</t>
  </si>
  <si>
    <t>Renting of Office and House for Integrated Farm ltd</t>
  </si>
  <si>
    <t>Provision of office/house  accommodation for staff of Gassol Integrated Farms ltd</t>
  </si>
  <si>
    <t>31/01/2024</t>
  </si>
  <si>
    <t>SPDO-MAG-P-23-00002</t>
  </si>
  <si>
    <t>Techno Feasibility Studies for the Development of special Agro-Industrial Processing Zone</t>
  </si>
  <si>
    <t>Establishment of industrial hubs in the three senatorial zones of the state</t>
  </si>
  <si>
    <t>31/05/2024</t>
  </si>
  <si>
    <t>SPDO-MFB-P-23-00023</t>
  </si>
  <si>
    <t>Procurement of 208 Assorted Vehicles</t>
  </si>
  <si>
    <t>For Government Officials, Security Agencies</t>
  </si>
  <si>
    <t>SPDO-MFB-P-23-00024</t>
  </si>
  <si>
    <t>Preparation, Production, Dissemination of 2024 Budget and Staff Motivation</t>
  </si>
  <si>
    <t>For the Day to  Day Running of Government Activities</t>
  </si>
  <si>
    <t>SPDO-MFB-P-23-00025</t>
  </si>
  <si>
    <t>Hostimg of 2023 Budget Implementation Report on Government Websites</t>
  </si>
  <si>
    <t>For Donor Agencies to See and Key in Support</t>
  </si>
  <si>
    <t>SPDO-MFB-P-23-00026</t>
  </si>
  <si>
    <t>Payment of Over N3B Counterpart Funding to FGN and World in the State</t>
  </si>
  <si>
    <t>For Intervention in Education, Agriculture and Tourism</t>
  </si>
  <si>
    <t>SPDO-MFB-P-23-00027</t>
  </si>
  <si>
    <t>Payment of Rented Quarters for Government Within and Outside the State Capital</t>
  </si>
  <si>
    <t>Offices and Residential Accomodation</t>
  </si>
  <si>
    <t>SPDO-MFB-P-23-00028</t>
  </si>
  <si>
    <t>Invitation of Raising Memo for the Payment Gratituities and Death Benefits to Retirees from 2011-2023</t>
  </si>
  <si>
    <t>To Cushion the Hardship After Serving the State for Over 30 Years</t>
  </si>
  <si>
    <t>SPDO-MFB-P-23-00029</t>
  </si>
  <si>
    <t>Payment of Over N1B for the Inventing of the Assorted Vehicles Purchased</t>
  </si>
  <si>
    <t>To Indemnify in the Event of Theft, Accident and Damage</t>
  </si>
  <si>
    <t>SPDO-MFB-P-23-00030</t>
  </si>
  <si>
    <t>Loans From 4 Banks Over N200B Facilitated By the Ministry</t>
  </si>
  <si>
    <t>ToFinance Government Projects/Programmes in Agric, Education</t>
  </si>
  <si>
    <t>SPDO-MED-P-23-00011</t>
  </si>
  <si>
    <t>Construction of students benches and desks for some Secondary Schools in the State Headquarters</t>
  </si>
  <si>
    <t>To provide sitting accommodation for students to comfortably write their sterna exams</t>
  </si>
  <si>
    <t>SPDO-MED-P-23-00012</t>
  </si>
  <si>
    <t>Production of Scheme of work for secondary schools in the State</t>
  </si>
  <si>
    <t>To ensure that there is uniformity in the teaching content across the secondary schools in the State</t>
  </si>
  <si>
    <t>SPDO-MED-P-23-00013</t>
  </si>
  <si>
    <t xml:space="preserve">Procurement of Hydro foam bricks technology for construction of Schools infrastructure </t>
  </si>
  <si>
    <t>To afford the State Technical Collages the Machines for Block Molding skills</t>
  </si>
  <si>
    <t>SPDO-MED-P-23-00014</t>
  </si>
  <si>
    <t>Procurement of uniforms and Instructional Materials</t>
  </si>
  <si>
    <t>To reduce financial burden on parents and enhance teaching and learning in schools</t>
  </si>
  <si>
    <t>SPDO-MED-P-23-00016</t>
  </si>
  <si>
    <t>Travel for a Joint Consultative Committee on Education in Calaber</t>
  </si>
  <si>
    <t>To expose director of the ministry on the rudiment of Educational policy formulation</t>
  </si>
  <si>
    <t>SPDO-MED-P-23-00019</t>
  </si>
  <si>
    <t>Travel for workshop on practical Intelligence in Abuja</t>
  </si>
  <si>
    <t>Capacity Building</t>
  </si>
  <si>
    <t>SPDO-MED-P-23-00020</t>
  </si>
  <si>
    <t>Travel for World Bank Assisted project on Human Capital Opportunity</t>
  </si>
  <si>
    <t>20/05/2024</t>
  </si>
  <si>
    <t>SPDO-MED-P-23-00021</t>
  </si>
  <si>
    <t>Conduct of Computer Based quiz and football competition among Primary &amp; Secondary Schools Student in southern Taraba</t>
  </si>
  <si>
    <t>To discover skilled and talented students</t>
  </si>
  <si>
    <t>SPDO-MED-P-23-00022</t>
  </si>
  <si>
    <t>Sponsoring students of FGGC for international competition to Rwanda</t>
  </si>
  <si>
    <t>To showcase some of the best minds at international level</t>
  </si>
  <si>
    <t>SPDO-MED-P-23-00023</t>
  </si>
  <si>
    <t>Attending Stakeholders Validation meeting on draft National Minimum Standard in Abuja</t>
  </si>
  <si>
    <t>To represent the State and make her input in the document</t>
  </si>
  <si>
    <t>SPDO-MED-P-23-00024</t>
  </si>
  <si>
    <t>Honorable Commissioner’s medical Bill</t>
  </si>
  <si>
    <t>Treatment for the Honorable Commissioner</t>
  </si>
  <si>
    <t>Health</t>
  </si>
  <si>
    <t>SPDO-MWI-P-23-00042</t>
  </si>
  <si>
    <t>Construction of 22 Km Dual Carriageway from NYSC Camp along Wukari Road to Pantinapu City Gate along Yola road with Pedestrian Walkways, Nukkai Bridge, a Flyover and 6 Nos Pedestrian Bridges in Jalingo, Taraba State.</t>
  </si>
  <si>
    <t xml:space="preserve">Stimulate economic activities and enhances security surveillance   </t>
  </si>
  <si>
    <t>2,500,000.000.00</t>
  </si>
  <si>
    <t>SPDO-MWI-P-23-00043</t>
  </si>
  <si>
    <t>Construction and Rehabilitation of Government House road networks</t>
  </si>
  <si>
    <t>SPDO-MED-P-23-00047</t>
  </si>
  <si>
    <t>Parameter fencing of GDSS Sabon-Gari</t>
  </si>
  <si>
    <t>To provide security and control entrustment into the school</t>
  </si>
  <si>
    <t>School Infrastructure Construction and Rehabilitation</t>
  </si>
  <si>
    <t>SPDO-MED-P-23-00048</t>
  </si>
  <si>
    <t>National youth service corps (NYSC)</t>
  </si>
  <si>
    <t>To motivate corps members teaching in Secondary Schools across the State.</t>
  </si>
  <si>
    <t>30/09/2024</t>
  </si>
  <si>
    <t>SPDO-MED-P-23-00049</t>
  </si>
  <si>
    <t>Placement of JSS 1 Students. Nigerian Military School Examination in to JSS 1</t>
  </si>
  <si>
    <t>To afford Taraba indigene gain placement into Junior Secondary schools</t>
  </si>
  <si>
    <t xml:space="preserve">School Examination and MLA </t>
  </si>
  <si>
    <t>SPDO-MED-P-23-00050</t>
  </si>
  <si>
    <t xml:space="preserve"> International Trip </t>
  </si>
  <si>
    <t>To explore and buy into educational innovation for the State</t>
  </si>
  <si>
    <t>SPDO-MED-P-23-00051</t>
  </si>
  <si>
    <t>College of Education, Zing Convocation/Graduation Ceremony.</t>
  </si>
  <si>
    <t>To Certificate graduands of the College and to meet up with the NCCE Guidelines.</t>
  </si>
  <si>
    <t>Institutional and Learning Materials</t>
  </si>
  <si>
    <t>SPDO-MED-P-23-00052</t>
  </si>
  <si>
    <t>Meeting of His Excellency's the Executive Governor with Head teachers/ Principals of Public Schools.</t>
  </si>
  <si>
    <t>To Evaluate the progress of free  and Compulsory Education Policy in the State.</t>
  </si>
  <si>
    <t>Advocacy and Sensitization</t>
  </si>
  <si>
    <t>SPDO-MCT-P-23-00002</t>
  </si>
  <si>
    <t>Kefas Palliative Market, Jalingo</t>
  </si>
  <si>
    <t>To boost the
revenue of the State</t>
  </si>
  <si>
    <t>Market activities to generate revenue</t>
  </si>
  <si>
    <t>SPDO-MTR-P-23-00014</t>
  </si>
  <si>
    <t xml:space="preserve">Rehabilitation of runway, Drainages and construction of perimeter fence at the Airport Jalingo. </t>
  </si>
  <si>
    <t>To provide safe landing and take-off of air planes.</t>
  </si>
  <si>
    <t>31/01/2025</t>
  </si>
  <si>
    <t>Airways-General</t>
  </si>
  <si>
    <t>SPDO-MTR-P-23-00015</t>
  </si>
  <si>
    <t>Installation of instrument landing system at the Airport Jalingo.</t>
  </si>
  <si>
    <t>To provide guidance to airplanes at bad weather</t>
  </si>
  <si>
    <t>SPDO-MTR-P-23-00016</t>
  </si>
  <si>
    <t>Purchase and supply of 2nos fire Tenders at the Airport.</t>
  </si>
  <si>
    <t xml:space="preserve">To provide extinguishing of fire to Airplanes during any incidents </t>
  </si>
  <si>
    <t>31/08/2024</t>
  </si>
  <si>
    <t>SPDO-MTR-P-23-00017</t>
  </si>
  <si>
    <t>Remolding of terminal building and V.VIP lounge</t>
  </si>
  <si>
    <t>To provide comfort and for  privacy to VVIP and VIPs</t>
  </si>
  <si>
    <t>20/02/2025</t>
  </si>
  <si>
    <t>Digital Base Station</t>
  </si>
  <si>
    <t>30/6/2024</t>
  </si>
  <si>
    <t>SPDO-MDI-P-23-00015</t>
  </si>
  <si>
    <t>Digital Algorand Hackathon</t>
  </si>
  <si>
    <t>To expose Taraba Youth to Tech skills locally</t>
  </si>
  <si>
    <t>31/8/2024</t>
  </si>
  <si>
    <t>SPDO-MDI-P-23-00016</t>
  </si>
  <si>
    <t>Regional Hackathon</t>
  </si>
  <si>
    <t>To expose Taraba Youth to Tech skills locally and Internationally</t>
  </si>
  <si>
    <t>SPDO-MDI-P-23-00017</t>
  </si>
  <si>
    <t>Web3 Blockchain Training</t>
  </si>
  <si>
    <t>To train youth on how to utilize Web3 technology to develop various aspects of the economy
and solve numerous tech challenges.</t>
  </si>
  <si>
    <t>SPDO-MDI-P-23-00018</t>
  </si>
  <si>
    <t>New Ministry’s Website</t>
  </si>
  <si>
    <t>To improve effective communication and showcase the State potentials to the rest of the world</t>
  </si>
  <si>
    <t>SPDO-MDI-P-23-00019</t>
  </si>
  <si>
    <t>Hosting of Build-A-Thon Holiday Booth Camp:</t>
  </si>
  <si>
    <t>To equip teenagers with digital tech that will make them self-reliant</t>
  </si>
  <si>
    <t>SPDO-MDI-P-23-00020</t>
  </si>
  <si>
    <t>Inclusion of 8 LGAs in Taraba State in the next phase of the Project 774 LG</t>
  </si>
  <si>
    <t>To prepare Local Governments for E-Governance and improve inter connectivity between arms of Government within and outside the State</t>
  </si>
  <si>
    <t>30/9/2024</t>
  </si>
  <si>
    <t>SPDO-MDI-P-23-00021</t>
  </si>
  <si>
    <t>National Enrollment</t>
  </si>
  <si>
    <t>To enable the State get recognition as well as have a voice in national policies regarding Information Technology</t>
  </si>
  <si>
    <t>31/1/2024</t>
  </si>
  <si>
    <t>SPDO-MDI-P-23-00022</t>
  </si>
  <si>
    <t>UNDP Project</t>
  </si>
  <si>
    <t>To develop E- Learning and provide easy access to E- Learning facilities
for students of tertiary Institution in the State</t>
  </si>
  <si>
    <t>30/10/2024</t>
  </si>
  <si>
    <t>SPDO-MWC-P-23-00023</t>
  </si>
  <si>
    <t xml:space="preserve">International Women’s Day Celebration/Women fitness center &amp; Hall </t>
  </si>
  <si>
    <t xml:space="preserve">Celebration of women worldwide, Gender equality </t>
  </si>
  <si>
    <t>SPDO-MWC-P-23-00024</t>
  </si>
  <si>
    <t>Advocacy/SDG</t>
  </si>
  <si>
    <t>Create awareness on GBV</t>
  </si>
  <si>
    <t>SPDO-MWI-P-23-00044</t>
  </si>
  <si>
    <t>Construction of Ultra-Modern Abattoir</t>
  </si>
  <si>
    <t>For State Development</t>
  </si>
  <si>
    <t xml:space="preserve">
6,084,895,681.60</t>
  </si>
  <si>
    <t xml:space="preserve">
4,328,953,958.16</t>
  </si>
  <si>
    <t>Construction/Provision of Roads</t>
  </si>
  <si>
    <t>SPDO-MWI-P-23-00045</t>
  </si>
  <si>
    <t>Renovation/Construction  of State Secretariat</t>
  </si>
  <si>
    <t>31/10/2025</t>
  </si>
  <si>
    <t xml:space="preserve">
1,591,632,882.60</t>
  </si>
  <si>
    <t>SPDO-MWI-P-23-00046</t>
  </si>
  <si>
    <t>Construction of International Trade fair Complex</t>
  </si>
  <si>
    <t>SPDO-MWI-P-23-00047</t>
  </si>
  <si>
    <t>Renovation of Governor’s Lodge, Wukari</t>
  </si>
  <si>
    <t>SPDO-MWI-P-23-00048</t>
  </si>
  <si>
    <t>Construction of International Yam Market, Wukari</t>
  </si>
  <si>
    <t xml:space="preserve">
29,125,426,353.06</t>
  </si>
  <si>
    <t xml:space="preserve">
3,299,996,717.00</t>
  </si>
  <si>
    <t>SPDO-MED-P-23-00053</t>
  </si>
  <si>
    <t>Lifting and feeding of Students Exchange program</t>
  </si>
  <si>
    <t>Transportation and feeding of students exchange program</t>
  </si>
  <si>
    <t>30/6/2025</t>
  </si>
  <si>
    <t>SPDO-MED-P-23-00054</t>
  </si>
  <si>
    <t>Registration and conduct of WAEC,  NECO &amp; NABTE 2025</t>
  </si>
  <si>
    <t>SPDO-MED-P-23-00055</t>
  </si>
  <si>
    <t>Registration and conduct of BECE  2025</t>
  </si>
  <si>
    <t>SPDO-MED-P-23-00056</t>
  </si>
  <si>
    <t>For the construction of Modern primary and secondary schools across the State</t>
  </si>
  <si>
    <t>SPDO-MED-P-23-00057</t>
  </si>
  <si>
    <t>Construction of Model Primary and Secondary School in the 16 LGAs (60 schools)</t>
  </si>
  <si>
    <t>To provide condusive learning environment</t>
  </si>
  <si>
    <t>SPDO-MED-P-23-00058</t>
  </si>
  <si>
    <t>Proactive prevention, control and extermination of termite anthills</t>
  </si>
  <si>
    <t>SPDO-MWA-P-23-00002</t>
  </si>
  <si>
    <t>Maintenance and procurement of pumps, transformers and 750 KV/AVR in Magami Jalingo</t>
  </si>
  <si>
    <t>SPDO-OEG-P-23-00002</t>
  </si>
  <si>
    <t>Renovation of Government House Facilities</t>
  </si>
  <si>
    <t xml:space="preserve">Renovation &amp; Remodelling main Building, 4 main Guest Houses, Kitchen, External Jim laundry, In-door Swimming pool, &amp; Changing room. 1No. &amp; Scrapping Solar (30KVA) Light, Car park, Water supply </t>
  </si>
  <si>
    <t>SPDO-OEG-P-23-00003</t>
  </si>
  <si>
    <t>Furnishing, Remodelling and Renovation of Guest House</t>
  </si>
  <si>
    <t>Furnishing, renovation &amp; remodeling of gate, guest house, kitchen, landscaping &amp; perimeter fencing, electrical/electronics, gazebo, water purification</t>
  </si>
  <si>
    <t>SPDO-OEG-P-23-00004</t>
  </si>
  <si>
    <t>Renovation of Governor's Office Security Architecture</t>
  </si>
  <si>
    <t>Governor’s office, security lounge warehouse, landscaping, underground piping, 3 Nos boreholes, CSO office Upgrade , New office blocks by Gate 1, Glass tunnel, 40KVA solar light, swimming pool, acrylic glass Doom with Furniture  &amp; Air Condition</t>
  </si>
  <si>
    <t>31/07/2025</t>
  </si>
  <si>
    <t>SPDO-OSG-P-23-00018</t>
  </si>
  <si>
    <t>Request for Payment of outstanding judgement debt</t>
  </si>
  <si>
    <t>SPDO-OSH-P-23-00014</t>
  </si>
  <si>
    <t>Procurment of Essential Security Equipment: Ballistic Helmets and Bullet Proof Vests for Taraba State Police</t>
  </si>
  <si>
    <t>SPDO-OSH-P-23-00015</t>
  </si>
  <si>
    <t>Purchase for Security Equipmenrt as State Support to Security Agencies in the State</t>
  </si>
  <si>
    <t>SPDO-OSH-P-23-00016</t>
  </si>
  <si>
    <t>Procurement of 6 Channel Vehicles Catcher System</t>
  </si>
  <si>
    <t>SPDO-OSH-P-23-00017</t>
  </si>
  <si>
    <t>Procurement of Four (4) Mine Resistant Ambush Protected (MRAP) Vehicles</t>
  </si>
  <si>
    <t>SPDO-OSH-P-23-00018</t>
  </si>
  <si>
    <t>Procurement of 10 Armored Military Buffalo Vehicles</t>
  </si>
  <si>
    <t>SPDO-MJT-P-23-00010</t>
  </si>
  <si>
    <t>Construction of Honourable Attorney-General’s Chambers within the State Secretariat</t>
  </si>
  <si>
    <t>SPDO-MEE-P-23-00040</t>
  </si>
  <si>
    <t>Development of Taraba State Economic Development Projects with ECOWAS</t>
  </si>
  <si>
    <t>SPDO-MED-P-23-00059</t>
  </si>
  <si>
    <t>Registration and conduct of NABTE, 2025</t>
  </si>
  <si>
    <t>SPDO-MED-P-23-00060</t>
  </si>
  <si>
    <t>Conduct of BECE  Examination (Production, Monitoring &amp; Marking)</t>
  </si>
  <si>
    <t>Conduct of Mock Examination (Production, Monitoring &amp; Marking)</t>
  </si>
  <si>
    <t>SPDO-MED-P-23-00061</t>
  </si>
  <si>
    <t>SPDO-MED-P-23-00062</t>
  </si>
  <si>
    <t>Project variation (prezzo shed invest limited, abuja).</t>
  </si>
  <si>
    <t>Contract Review because of Increase in price of materials</t>
  </si>
  <si>
    <t>SPDO-MED-P-23-00063</t>
  </si>
  <si>
    <t>Procurement of 180 units of k-yan technology system for public primary and secondary schools in taraba state.</t>
  </si>
  <si>
    <t>To improve effective Digital Teaching teaching and learning</t>
  </si>
  <si>
    <t>S/N</t>
  </si>
  <si>
    <t>PROJECT NAME</t>
  </si>
  <si>
    <t>PROJECT OBJECTIVE</t>
  </si>
  <si>
    <t>PROJECT TIMELINE</t>
  </si>
  <si>
    <t>CURRENT STATUS (% COMPLETED)</t>
  </si>
  <si>
    <t>TOTAL AMOUNT BUDGETED</t>
  </si>
  <si>
    <t>AMOUNT SPENT TILL DATE</t>
  </si>
  <si>
    <t>CHALLENGES ENCOUNTERED</t>
  </si>
  <si>
    <t>Nyamu-sala model secondary school</t>
  </si>
  <si>
    <t>to provide a modern conducive learning environment in line with international best practice</t>
  </si>
  <si>
    <t>September 2023 to march, 2024</t>
  </si>
  <si>
    <t>75% completed</t>
  </si>
  <si>
    <t>Lack of enough space  within the school  for expanded facilities</t>
  </si>
  <si>
    <t>Comprehensive Secondary School Jalingo ( temporary site)</t>
  </si>
  <si>
    <t>Renovation and supply of school facilities to provide an alternative accommodation for students exchange program</t>
  </si>
  <si>
    <t>August to September, 2023</t>
  </si>
  <si>
    <t>100% completed</t>
  </si>
  <si>
    <t>Some of the machines and equipment of Federal Science and Technical College still left in some buildings needed to be used</t>
  </si>
  <si>
    <t>Exchange Students program</t>
  </si>
  <si>
    <t xml:space="preserve"> Transportation and feeding of students exchange program</t>
  </si>
  <si>
    <t>January to July, 2024</t>
  </si>
  <si>
    <t>35% completed</t>
  </si>
  <si>
    <t>Inadequate feeding for students ( ₦140.00 per meal × 3 = ₦420.00 per day per student).</t>
  </si>
  <si>
    <t>September 2023 to date</t>
  </si>
  <si>
    <t>On going</t>
  </si>
  <si>
    <t>WAEC,NECO &amp; NABTE</t>
  </si>
  <si>
    <t>December 2023 to June, 2024</t>
  </si>
  <si>
    <t>Inadequate Data of SS three students in public Schools</t>
  </si>
  <si>
    <t>BECE &amp; MOCK</t>
  </si>
  <si>
    <t>December 2023 to July, 2024</t>
  </si>
  <si>
    <t>October to December, 2023</t>
  </si>
  <si>
    <t xml:space="preserve">22 MINISTRIES IN TARABA </t>
  </si>
  <si>
    <t>Weighting</t>
  </si>
  <si>
    <t>Ministry of Women Affairs &amp; Child Development</t>
  </si>
  <si>
    <t>Ministry of Finance, Budget, and Economic Planning</t>
  </si>
  <si>
    <t>Ministry of Cooperative &amp; Poverty Alleviation</t>
  </si>
  <si>
    <t>Ministry of Special Duties, Humanitarian Services and Regional Development</t>
  </si>
  <si>
    <t>NAME</t>
  </si>
  <si>
    <t>PROJECT OBJECTIV</t>
  </si>
  <si>
    <t>PROJECT TIMELINES</t>
  </si>
  <si>
    <t>CURRENT STATUS OF COMPLETION</t>
  </si>
  <si>
    <t>KEY MILESTIONS ACTEVED</t>
  </si>
  <si>
    <t>ACOUNT SPENT TILL DATE</t>
  </si>
  <si>
    <t>CHANLLENGES ENLENTERED</t>
  </si>
  <si>
    <t>ANY OTHER PERNENT INFORMATION</t>
  </si>
  <si>
    <t>Construction of college of Nursing and Midwifery Jalingo</t>
  </si>
  <si>
    <t>Training of Human rescues for Health (Nurses and Midwiees</t>
  </si>
  <si>
    <t>Timely</t>
  </si>
  <si>
    <t>55-60%</t>
  </si>
  <si>
    <t>Most Structures are set up</t>
  </si>
  <si>
    <t>₦7,000,000,000.00</t>
  </si>
  <si>
    <t>₦4,000,000,000.00</t>
  </si>
  <si>
    <t>Lack of Compensation of some acquired  Lands</t>
  </si>
  <si>
    <t>The NBTE Accreditation will require some special aspects of the project be completed before their visit</t>
  </si>
  <si>
    <t>2. First Referral Hospital Lissam</t>
  </si>
  <si>
    <t>Provision of medical Treatments to Patients</t>
  </si>
  <si>
    <t>50%?</t>
  </si>
  <si>
    <t>Original Completion of abandoned work</t>
  </si>
  <si>
    <t>₦2,990,000,000.00</t>
  </si>
  <si>
    <t xml:space="preserve">Supervisions not involved  at site    </t>
  </si>
  <si>
    <t>Supervisors not involved   Ministry not adequately briefed on work progress</t>
  </si>
  <si>
    <t>3. Purchase of 175 pentacyclic Ambulance</t>
  </si>
  <si>
    <t xml:space="preserve">To convey patients to designated Health family </t>
  </si>
  <si>
    <t xml:space="preserve">Proposal  submitted  3 initially supplied   </t>
  </si>
  <si>
    <t>₦20,000,000.00</t>
  </si>
  <si>
    <t>Lack of release of fund</t>
  </si>
  <si>
    <t xml:space="preserve">4. Purchase of specialized equipment for 3 specialist Hospital </t>
  </si>
  <si>
    <t>Provision of Specialized Equipment</t>
  </si>
  <si>
    <t>Yet</t>
  </si>
  <si>
    <t>Equipping of hospital</t>
  </si>
  <si>
    <t>₦13,594,917,017:00</t>
  </si>
  <si>
    <t xml:space="preserve">5. Purcahse of Drugs and Medicines Hospital Consumables </t>
  </si>
  <si>
    <t>Treatment of patients</t>
  </si>
  <si>
    <t>Health Facilitation Supplied with modifier</t>
  </si>
  <si>
    <t>₦35000000</t>
  </si>
  <si>
    <t>Seamless</t>
  </si>
  <si>
    <t>Need for more Medicine</t>
  </si>
  <si>
    <t>6. Supply of Laboratory equipments and Consumables</t>
  </si>
  <si>
    <t>Hospital Laboratory for 168 PHCS</t>
  </si>
  <si>
    <t>Equipping 168 PHCS in the State</t>
  </si>
  <si>
    <t>₦1,200,00,000.00</t>
  </si>
  <si>
    <t>Yet to provide fund</t>
  </si>
  <si>
    <t>Yet to be funded</t>
  </si>
  <si>
    <t>7. Supply of Medicines for 168 PHCS and 168 GH</t>
  </si>
  <si>
    <t>Yet to commence</t>
  </si>
  <si>
    <t>Medicines for 168 PHCS and 16 GHS</t>
  </si>
  <si>
    <t>₦300,000,000.00</t>
  </si>
  <si>
    <t>Fund Yet to be released</t>
  </si>
  <si>
    <t>8. Supply of Laboratory equipments and Consumables for 168 PHCS and 16 GHS</t>
  </si>
  <si>
    <t>Hospital Laboratory for the 168 PHCS</t>
  </si>
  <si>
    <t>Yet  to commence</t>
  </si>
  <si>
    <t>Lab equipment for 168 PHCS in the State</t>
  </si>
  <si>
    <t>₦500,000,000.00</t>
  </si>
  <si>
    <t xml:space="preserve">Bali </t>
  </si>
  <si>
    <t xml:space="preserve">Donga </t>
  </si>
  <si>
    <t xml:space="preserve">Gashaka </t>
  </si>
  <si>
    <t xml:space="preserve">Gassol </t>
  </si>
  <si>
    <t xml:space="preserve">Ibi </t>
  </si>
  <si>
    <t xml:space="preserve">Karim Lamido </t>
  </si>
  <si>
    <t xml:space="preserve">Kurmi </t>
  </si>
  <si>
    <t xml:space="preserve">Lau </t>
  </si>
  <si>
    <t xml:space="preserve">Sardauna </t>
  </si>
  <si>
    <t xml:space="preserve">Takum </t>
  </si>
  <si>
    <t xml:space="preserve">Ussa </t>
  </si>
  <si>
    <t xml:space="preserve">Wukari </t>
  </si>
  <si>
    <t>SDGs GOALs</t>
  </si>
  <si>
    <t>Peace, Justice, and Strong Institutions</t>
  </si>
  <si>
    <t>Gender Equality</t>
  </si>
  <si>
    <t>Clean Water and Sanitation</t>
  </si>
  <si>
    <t>Sustainable Cities and Communities</t>
  </si>
  <si>
    <t>Industry, Innovation, and Infrastructure</t>
  </si>
  <si>
    <t>Responsible Consumption and Production</t>
  </si>
  <si>
    <t>Life Below Water</t>
  </si>
  <si>
    <t>Life on Land</t>
  </si>
  <si>
    <t>Renovation of the Governors Office area</t>
  </si>
  <si>
    <t>Renovation of The Governors Lodge</t>
  </si>
  <si>
    <t>Reconstruction of the Banquet Hall</t>
  </si>
  <si>
    <t>Taraba Aids Control Agency Projects</t>
  </si>
  <si>
    <t>Reconstruction of the Government House Gates</t>
  </si>
  <si>
    <t>AGENCY CODE</t>
  </si>
  <si>
    <t>NAME OF MDA</t>
  </si>
  <si>
    <t>MAG</t>
  </si>
  <si>
    <t>SME</t>
  </si>
  <si>
    <t>MCT</t>
  </si>
  <si>
    <t>BLS</t>
  </si>
  <si>
    <t>Bureau for Land and Survey</t>
  </si>
  <si>
    <t>MCP</t>
  </si>
  <si>
    <t>BSM</t>
  </si>
  <si>
    <t>MDI</t>
  </si>
  <si>
    <t>BPP</t>
  </si>
  <si>
    <t>MED</t>
  </si>
  <si>
    <t>CSC</t>
  </si>
  <si>
    <t>Civil Service Commission (CSC)</t>
  </si>
  <si>
    <t>MEE</t>
  </si>
  <si>
    <t>Ministry of Energy and Economy Development</t>
  </si>
  <si>
    <t>COA</t>
  </si>
  <si>
    <t>MEC</t>
  </si>
  <si>
    <t>COE</t>
  </si>
  <si>
    <t>MFB</t>
  </si>
  <si>
    <t>COH</t>
  </si>
  <si>
    <t>MHT</t>
  </si>
  <si>
    <t>CSA</t>
  </si>
  <si>
    <t>MHE</t>
  </si>
  <si>
    <t>CCA</t>
  </si>
  <si>
    <t>MIR</t>
  </si>
  <si>
    <t>FCP</t>
  </si>
  <si>
    <t>MJT</t>
  </si>
  <si>
    <t>FRC</t>
  </si>
  <si>
    <t>Fiscal Responsibility Commission</t>
  </si>
  <si>
    <t>MRU</t>
  </si>
  <si>
    <t>HCJ</t>
  </si>
  <si>
    <t>MST</t>
  </si>
  <si>
    <t>HAC</t>
  </si>
  <si>
    <t>House of Assembly Service Commission</t>
  </si>
  <si>
    <t>MSS</t>
  </si>
  <si>
    <t>IVP</t>
  </si>
  <si>
    <t>MTR</t>
  </si>
  <si>
    <t>LSC</t>
  </si>
  <si>
    <t>MWM</t>
  </si>
  <si>
    <t>NEP</t>
  </si>
  <si>
    <t>MWA</t>
  </si>
  <si>
    <t>OEG</t>
  </si>
  <si>
    <t>MWC</t>
  </si>
  <si>
    <t>OPG</t>
  </si>
  <si>
    <t>MWI</t>
  </si>
  <si>
    <t>HSC</t>
  </si>
  <si>
    <t>MYS</t>
  </si>
  <si>
    <t>Ministry of Youths &amp; Sports Development</t>
  </si>
  <si>
    <t>HSD</t>
  </si>
  <si>
    <t>MSJ</t>
  </si>
  <si>
    <t>OSC</t>
  </si>
  <si>
    <t>Office of the Head of Service (Common Services, IPPS/ICT)</t>
  </si>
  <si>
    <t>OAS</t>
  </si>
  <si>
    <t>OAL</t>
  </si>
  <si>
    <t>Office of the Auditor General (Local Govt. Areas)</t>
  </si>
  <si>
    <t>OSG</t>
  </si>
  <si>
    <t>OSH</t>
  </si>
  <si>
    <t>TSB</t>
  </si>
  <si>
    <t>SMA</t>
  </si>
  <si>
    <t>TCA</t>
  </si>
  <si>
    <t>Taraba State Pension Board</t>
  </si>
  <si>
    <t>TGS</t>
  </si>
  <si>
    <t>Taraba Geographic Information Systems</t>
  </si>
  <si>
    <t>TSA</t>
  </si>
  <si>
    <t>SIE</t>
  </si>
  <si>
    <t>TAD</t>
  </si>
  <si>
    <t>THU</t>
  </si>
  <si>
    <t>TAP</t>
  </si>
  <si>
    <t>TSI</t>
  </si>
  <si>
    <t>TST</t>
  </si>
  <si>
    <t>TCM</t>
  </si>
  <si>
    <t>TSC</t>
  </si>
  <si>
    <t>RWA</t>
  </si>
  <si>
    <t>SCA</t>
  </si>
  <si>
    <t>Sharia Court of Appeal</t>
  </si>
  <si>
    <t>TSS</t>
  </si>
  <si>
    <t>Taraba State Sports Council</t>
  </si>
  <si>
    <t>UBE</t>
  </si>
  <si>
    <t>TPH</t>
  </si>
  <si>
    <t>TME</t>
  </si>
  <si>
    <t>TSU</t>
  </si>
  <si>
    <t>TDP</t>
  </si>
  <si>
    <t>THJ</t>
  </si>
  <si>
    <t>PHC</t>
  </si>
  <si>
    <t>BTS</t>
  </si>
  <si>
    <t>TSH</t>
  </si>
  <si>
    <t>SPDO-MED-P-23-00064</t>
  </si>
  <si>
    <t xml:space="preserve">Transportation Bill for Exchange Students </t>
  </si>
  <si>
    <t xml:space="preserve">To Transport exchange students to various States </t>
  </si>
  <si>
    <t>Feeding of two Unity Schools</t>
  </si>
  <si>
    <t>To feed Students in two Unity Schools in the State</t>
  </si>
  <si>
    <t>SPDO-MED-P-23-00065</t>
  </si>
  <si>
    <t>Registration and conduct of WAEC, 2026</t>
  </si>
  <si>
    <t>SPDO-MED-P-23-00066</t>
  </si>
  <si>
    <t>To relief parents  the burden of the cost of Parents  wards for external examinations</t>
  </si>
  <si>
    <t>Payment of Salary</t>
  </si>
  <si>
    <t>To relief parents  the burden of the cost of  their wards for external examinations</t>
  </si>
  <si>
    <t>SPDO-MED-P-23-00067</t>
  </si>
  <si>
    <t>SPDO-MHT-P-23-00001</t>
  </si>
  <si>
    <t>SPDO-MHT-P-23-00011</t>
  </si>
  <si>
    <t>SPDO-MHT-P-23-00020</t>
  </si>
  <si>
    <t>SPDO-MHT-P-23-00021</t>
  </si>
  <si>
    <t>SPDO-MHT-P-23-00023</t>
  </si>
  <si>
    <t>SPDO-MHT-P-23-00026</t>
  </si>
  <si>
    <t>SPDO-MHT-P-23-00027</t>
  </si>
  <si>
    <t>SPDO-MHT-P-23-00028</t>
  </si>
  <si>
    <t>Construction of General Hospital</t>
  </si>
  <si>
    <t>Construction of new general hospital Bali</t>
  </si>
  <si>
    <t>28/02/2026</t>
  </si>
  <si>
    <t>Renovation of Specialist Hospital</t>
  </si>
  <si>
    <t>Renovation and upgrade of Specialist hospital</t>
  </si>
  <si>
    <t>College of Nursing and Midwifery</t>
  </si>
  <si>
    <t>Renovation and upgrade of College of Nursing and Midwifery</t>
  </si>
  <si>
    <t>Construction of General Hospital Lissam</t>
  </si>
  <si>
    <t>Construction and Equipping of General Hospital Lissam</t>
  </si>
  <si>
    <t>Fittings/Equipment for College of Nursing &amp; Midwifery</t>
  </si>
  <si>
    <t>Furniture &amp; Fixtures</t>
  </si>
  <si>
    <t xml:space="preserve">Purchase of furniture for facilities and Ministry </t>
  </si>
  <si>
    <t>Construction of FRH Kona</t>
  </si>
  <si>
    <t>Construction and Equipping FRH Kona</t>
  </si>
  <si>
    <t>SPDO-MED-P-23-00068</t>
  </si>
  <si>
    <t>Registration and conduct of WAEC, NECO &amp; NABTEB 2026</t>
  </si>
  <si>
    <t>SPDO-MED-P-23-00069</t>
  </si>
  <si>
    <t>SPDO-MED-P-23-00070</t>
  </si>
  <si>
    <t>Registration and conduct of BECE &amp; MOCK</t>
  </si>
  <si>
    <t>SPDO-MED-P-23-00071</t>
  </si>
  <si>
    <t>Renovation of 2No. Unity Schools Marmara Government Girls Secondary School Wukari and Government College Secodary School Jalingo (MGGS Wukari &amp; GCSS Jalingo)</t>
  </si>
  <si>
    <t>SPDO-MED-P-23-00072</t>
  </si>
  <si>
    <t>Construction 60 Model Primary and Seondarys with hydrofoam bricks in Central, Northern and Southern Zones of the State</t>
  </si>
  <si>
    <t>To provide safe learning environment for students &amp; teachers</t>
  </si>
  <si>
    <t>SPDO-MED-P-23-00073</t>
  </si>
  <si>
    <t>Provision for National and State Quiz Competition in the State</t>
  </si>
  <si>
    <t>To build the capacity of students for the national &amp; state competition</t>
  </si>
  <si>
    <t xml:space="preserve">To support effective teaching and learning </t>
  </si>
  <si>
    <t>Construction of School Fence and Security</t>
  </si>
  <si>
    <t>To provide school safety and security</t>
  </si>
  <si>
    <t>Salary</t>
  </si>
  <si>
    <t>To pay the staff wages and salaries</t>
  </si>
  <si>
    <t>SPDO-MED-P-23-00074</t>
  </si>
  <si>
    <t>SPDO-MED-P-23-00075</t>
  </si>
  <si>
    <t>SPDO-MED-P-23-00076</t>
  </si>
  <si>
    <t>SPDO-MHT-P-23-00006</t>
  </si>
  <si>
    <t>SPDO-MHT-P-23-00032</t>
  </si>
  <si>
    <t>SPDO-MHT-P-23-00034</t>
  </si>
  <si>
    <t>SPDO-MHT-P-23-00035</t>
  </si>
  <si>
    <t>SPDO-MHT-P-23-00037</t>
  </si>
  <si>
    <t>SPDO-MHT-P-23-00040</t>
  </si>
  <si>
    <t>SPDO-MHT-P-23-00041</t>
  </si>
  <si>
    <t>Renovation/remodeling of FRH Donga, Donga LGA</t>
  </si>
  <si>
    <t>Renovation/remodeling of Specialist Hospital Jalingo</t>
  </si>
  <si>
    <t>Digital Processing Interfaces (DPI) to house the state’s digital solutions</t>
  </si>
  <si>
    <t>National council on Digital Economy</t>
  </si>
  <si>
    <t>Digital Competition  to develop Youth in Digital solution  the State</t>
  </si>
  <si>
    <t>Talents hunts in the areas of digital innovation and software developers among youth in the State</t>
  </si>
  <si>
    <t>30/11/2023</t>
  </si>
  <si>
    <t>1st  Taraba State Digital Hackaton</t>
  </si>
  <si>
    <t>1st  Taraba State Digital Kids Bootcamp</t>
  </si>
  <si>
    <t>Enhancing their skills in learning and research, communication skills and application of digital talents to solve societal problems</t>
  </si>
  <si>
    <t>31/082024</t>
  </si>
  <si>
    <t>2nd Taraba State Digital Hackaton</t>
  </si>
  <si>
    <t>2nd  Taraba State Digital Kids Bootcamp</t>
  </si>
  <si>
    <t>Exposed teen ages to basic and intermediate digital competencies such as Computer Literacy, Internet Usage, Digital Entrepreneurship</t>
  </si>
  <si>
    <t>31/08/2025</t>
  </si>
  <si>
    <t>3rd   Taraba State Digital Hackaton</t>
  </si>
  <si>
    <t>200 youth Participants mostly in Digital Software Developers</t>
  </si>
  <si>
    <t>30/11/2025</t>
  </si>
  <si>
    <t>3rd  Taraba State Digital Kids Bootcamp</t>
  </si>
  <si>
    <t>Introduce Secondary school students to the digital world by teaching them Coding and Apps development</t>
  </si>
  <si>
    <t>30/04/2025</t>
  </si>
  <si>
    <t>Preparation to Canada for  International Digital Expos</t>
  </si>
  <si>
    <t xml:space="preserve">Preparation for Expo on digital innovation for 2 commissioners in </t>
  </si>
  <si>
    <t>International Digital Expos in Canada</t>
  </si>
  <si>
    <t>the expo serves a gateway to global networking and connectivity in the digital  innovation, education; advancement and career opportunities in the digital age</t>
  </si>
  <si>
    <t>Digitalization/ Virtual Exco Meeting</t>
  </si>
  <si>
    <t>E-government Implementation and Adoption</t>
  </si>
  <si>
    <t>30/06/2026</t>
  </si>
  <si>
    <t>4th   Taraba State Digital Kids Bootcamp</t>
  </si>
  <si>
    <t>Digital Literacy skills for teenage in primary and secondary schhols</t>
  </si>
  <si>
    <t>30/09/2026</t>
  </si>
  <si>
    <t>4th    Taraba State Digital Hackaton</t>
  </si>
  <si>
    <t xml:space="preserve">Connecting youth in Digital Software Innovators and Developers for further development </t>
  </si>
  <si>
    <t>SPDO-MDI-P-23-00023</t>
  </si>
  <si>
    <t>SPDO-MDI-P-23-00024</t>
  </si>
  <si>
    <t>SPDO-MDI-P-23-00025</t>
  </si>
  <si>
    <t>SPDO-MDI-P-23-00026</t>
  </si>
  <si>
    <t>SPDO-MDI-P-23-00027</t>
  </si>
  <si>
    <t>SPDO-MDI-P-23-00028</t>
  </si>
  <si>
    <t>SPDO-MDI-P-23-00029</t>
  </si>
  <si>
    <t>SPDO-MDI-P-23-00030</t>
  </si>
  <si>
    <t>SPDO-MDI-P-23-00031</t>
  </si>
  <si>
    <t>SPDO-MDI-P-23-00032</t>
  </si>
  <si>
    <t>SPDO-MDI-P-23-00033</t>
  </si>
  <si>
    <t>SPDO-MDI-P-23-00034</t>
  </si>
  <si>
    <t>To Increase crop yield and 
ensure food security</t>
  </si>
  <si>
    <t xml:space="preserve"> Provision of all year round 
quality vegetables for 
both local and 
international 
consumption 
 Creation of job 
opportunities for our 
teeming youths. 
 Technology transfer </t>
  </si>
  <si>
    <t>30/07/2026</t>
  </si>
  <si>
    <t xml:space="preserve">Reduction of hunger for the  
vulnerable populace </t>
  </si>
  <si>
    <t xml:space="preserve">To mitigate against 
various risk associated 
with agricultural 
production </t>
  </si>
  <si>
    <t> To improve the income and 
livelihood of farmers and 
rural households 
 Massive food production 
 To provide rural 
infrastructures such as 
roads, irrigation storage 
facilities and market. 
 To improve farmers’ access 
to quality input, credit 
extension services and 
modern farming technology. 
 To promote employment 
opportunities and reduce 
poverty in rural 
communities 
 To encourage value addition</t>
  </si>
  <si>
    <t>Construction of Special Agro Processing Zones (SAPZII) in Lau, K-Lamido and Wukari LGAs</t>
  </si>
  <si>
    <t>To enhance value addition of agricultural produce.  Maximize food preservation and increase shelf life of agricultural produce</t>
  </si>
  <si>
    <t>Lau, Karim, Wukari</t>
  </si>
  <si>
    <t>To equip Youth  on 
modern seed 
multiplication techniques</t>
  </si>
  <si>
    <t xml:space="preserve">To increase crop yield and 
enhance food security in 
the state </t>
  </si>
  <si>
    <t>To enhance availability of 
highly productive and 
improved cassava stems 
to farmers in the state.</t>
  </si>
  <si>
    <t xml:space="preserve">To enhance crop 
protection and boost crop 
yield </t>
  </si>
  <si>
    <t xml:space="preserve">To enhance storage of 
agricultural produce  </t>
  </si>
  <si>
    <t>SPDO-MAG-P-23-00004</t>
  </si>
  <si>
    <t>SPDO-MAG-P-23-00005</t>
  </si>
  <si>
    <t>SPDO-MAG-P-23-00006</t>
  </si>
  <si>
    <t>SPDO-MAG-P-23-00007</t>
  </si>
  <si>
    <t>SPDO-MAG-P-23-00009</t>
  </si>
  <si>
    <t>SPDO-MAG-P-23-00010</t>
  </si>
  <si>
    <t>SPDO-MAG-P-23-00011</t>
  </si>
  <si>
    <t>SPDO-MAG-P-23-00012</t>
  </si>
  <si>
    <t>SPDO-MAG-P-23-00013</t>
  </si>
  <si>
    <t>SPDO-MAG-P-23-00014</t>
  </si>
  <si>
    <t>The Proposal for 3D Mapping and Modelling of Groundwater Resources, including Borehole Rehabilitation Across the 16 LGAs in Taraba State is an initiative aimed at assessing, mapping, and digitally modelling the State’s groundwater resources to improve sustainable water-resource planning and access to potable water.</t>
  </si>
  <si>
    <t>31/07/2026</t>
  </si>
  <si>
    <t>2,026,500,719. 85</t>
  </si>
  <si>
    <t>2,000,000,000. 00</t>
  </si>
  <si>
    <t>The Reconstruction of the 500 Cubic Meter Water Tank and Rehabilitation of the In-line Chlorination System at Karofi 1 Well Field is a water infrastructure rehabilitation project aimed at restoring and improving the storage and treatment capacity of the well field.</t>
  </si>
  <si>
    <t>SPDO-MWA-P-23-00024</t>
  </si>
  <si>
    <t>SPDO-MWA-P-23-00025</t>
  </si>
  <si>
    <t>Road Construction</t>
  </si>
  <si>
    <t>Construction of 22km Dual Carriageway from the NYSC Permanent Orientation Camp along Wukari Road to the City Gate at Pantinapu along Yola Road including Pedestrian Walkways, a Bridge Across Nukkai River, a Flyover and 6 No. Pedestrian Bridges in Jalingo</t>
  </si>
  <si>
    <t>Construction of Mararaba Pantisawa (Lacheke) – Pantisawa Road</t>
  </si>
  <si>
    <t>Construction of Mararraba – Baissa – Abong Road Lot I</t>
  </si>
  <si>
    <t>Construction of Mararraba – Baissa – Abong Road Lot II</t>
  </si>
  <si>
    <t>Construction of Mararraba – Baissa – Abong Road Lot III</t>
  </si>
  <si>
    <t>Construction of Pamanga – Dakka Road</t>
  </si>
  <si>
    <t>Construction of Yerima – Gassol – Dominion Farm</t>
  </si>
  <si>
    <t>Construction of Wukari (Riti) -Kente-Chinkai Road – 35km</t>
  </si>
  <si>
    <t>Construction of 5km IBI – Nwunyo Road</t>
  </si>
  <si>
    <t>Construction of Takum – Lissam (12km)</t>
  </si>
  <si>
    <t>Construction of Wukari Township Road Network and the Takum Junction Flyover Bridge with Dual Carriageway Interchange</t>
  </si>
  <si>
    <t>Construction of Zing – Yakoko – Mookin – Lamina Road</t>
  </si>
  <si>
    <t>Remodelling and Constructions</t>
  </si>
  <si>
    <t>Renovation, remodelling and Rehabilitation of Taraba State Liaison Office, Abuja</t>
  </si>
  <si>
    <t>Renovation and Remodelling of Presidential Lodge, Jalingo</t>
  </si>
  <si>
    <t>Renovation/Remodelling of T.Y. Danjuma House, Asokoro, Abuja</t>
  </si>
  <si>
    <t>Renovation/Remodelling of T.Y. Danjuma House, Wukari</t>
  </si>
  <si>
    <t>Construction/Furnishing of 1170 Person One-Medium Living Bungalow Block at Government House, Jalingo</t>
  </si>
  <si>
    <t>Construction of Taraba State Data Capturing Centre (TADCC), Central wire House and Canteen Government House, Jalingo</t>
  </si>
  <si>
    <t>Construction of Government House Chapel, Jalingo</t>
  </si>
  <si>
    <t>Construction of Governor's Office Extension, Combine Security Squad Centre and Fire Service Station</t>
  </si>
  <si>
    <t>Construction of Office of First Lady</t>
  </si>
  <si>
    <t>Renovation, Rehabilitation and Remodeling of General Sani Abacha State Secretariat, Jalingo</t>
  </si>
  <si>
    <t>Procurement and Purchase</t>
  </si>
  <si>
    <t>Procure 7 No. Fairly used machines and equipments</t>
  </si>
  <si>
    <t>Development of Taraba Oasis Project (Algon House)</t>
  </si>
  <si>
    <t>SPDO-MWI-P-23-00049</t>
  </si>
  <si>
    <t>SPDO-MWI-P-23-00050</t>
  </si>
  <si>
    <t>SPDO-MWI-P-23-00051</t>
  </si>
  <si>
    <t>SPDO-MWI-P-23-00052</t>
  </si>
  <si>
    <t>SPDO-MWI-P-23-00053</t>
  </si>
  <si>
    <t>SPDO-MWI-P-23-00054</t>
  </si>
  <si>
    <t>SPDO-MWI-P-23-00055</t>
  </si>
  <si>
    <t>SPDO-MWI-P-23-00056</t>
  </si>
  <si>
    <t>SPDO-MWI-P-23-00057</t>
  </si>
  <si>
    <t>SPDO-MWI-P-23-00058</t>
  </si>
  <si>
    <t>SPDO-MWI-P-23-00059</t>
  </si>
  <si>
    <t>SPDO-MWI-P-23-00060</t>
  </si>
  <si>
    <t>SPDO-MWI-P-23-00061</t>
  </si>
  <si>
    <t>SPDO-MWI-P-23-00062</t>
  </si>
  <si>
    <t>SPDO-MWI-P-23-00063</t>
  </si>
  <si>
    <t>SPDO-MWI-P-23-00064</t>
  </si>
  <si>
    <t>SPDO-MWI-P-23-00065</t>
  </si>
  <si>
    <t>SPDO-MWI-P-23-00066</t>
  </si>
  <si>
    <t>SPDO-MWI-P-23-00067</t>
  </si>
  <si>
    <t>SPDO-MWI-P-23-00068</t>
  </si>
  <si>
    <t>SPDO-MWI-P-23-00069</t>
  </si>
  <si>
    <t>SPDO-MWI-P-23-00070</t>
  </si>
  <si>
    <t>SPDO-MWI-P-23-00071</t>
  </si>
  <si>
    <t>SPDO-MWI-P-23-00072</t>
  </si>
  <si>
    <t xml:space="preserve">To promote and 
preserve the 
cultural heritage 
and traditional 
fishing practices of 
the Nwonyo 
community, while 
attracting tourists, 
creating economic 
opportunities for 
local communities, 
and positioning 
Taraba State as a 
leading destination 
for cultural 
tourism. </t>
  </si>
  <si>
    <t>17/04/2026</t>
  </si>
  <si>
    <t>La Campagne Project</t>
  </si>
  <si>
    <t xml:space="preserve">To develop a 
world-class 
tourism and 
hospitality 
destination that 
promotes eco
tourism, cultural 
exchange, 
recreation, and 
investment, while 
leveraging Taraba 
State’s natural and 
cultural resources 
to drive 
sustainable 
tourism 
development. </t>
  </si>
  <si>
    <t xml:space="preserve">To showcase and 
promote Taraba 
State’s diverse 
cultural heritage, 
traditional arts, 
crafts, music, 
dance, and 
indigenous 
traditions at the 
national level, 
while 
strengthening 
cultural exchange 
and tourism 
development. </t>
  </si>
  <si>
    <t>29/11/2025</t>
  </si>
  <si>
    <t>22/11/2025</t>
  </si>
  <si>
    <t xml:space="preserve">To promote 
Taraba State’s 
indigenous arts, 
crafts and creative 
industries on an 
international 
platform, create 
market 
opportunities for 
local artisans, 
attract investment, 
and enhance the 
state’s visibility as 
a cultural and 
tourism 
destination. </t>
  </si>
  <si>
    <t>World Tourism Day</t>
  </si>
  <si>
    <t xml:space="preserve">To celebrate and 
promote tourism 
in Taraba State by 
showcasing its rich 
natural, cultural 
and heritage 
attractions, 
increasing public 
awareness of the economic 
importance of 
tourism, and 
attracting tourists, 
investors and 
development 
partners. </t>
  </si>
  <si>
    <t>27/09/2025</t>
  </si>
  <si>
    <t>29/09/2025</t>
  </si>
  <si>
    <t>SPDO-MHE-P-23-00002</t>
  </si>
  <si>
    <t>SPDO-MHE-P-23-00006</t>
  </si>
  <si>
    <t>SPDO-MHE-P-23-00007</t>
  </si>
  <si>
    <t>SPDO-MHE-P-23-00008</t>
  </si>
  <si>
    <t>SPDO-MHE-P-23-00009</t>
  </si>
  <si>
    <t>Distribution of School Uniform in the 16 LGAs</t>
  </si>
  <si>
    <t>To support Free and Compulsory Education Agenda of His Excellency</t>
  </si>
  <si>
    <t>SPDO-MED-P-23-00077</t>
  </si>
  <si>
    <t xml:space="preserve">Procurement of Tools for Science, Technology, Engineering, and Mathematics &amp; Agric/Space Technology for 51 No. Schools in the State. </t>
  </si>
  <si>
    <t>To equip students with hands-on, practical skills and modern technological literacy that foster innovation, critical thinking, and career readiness in critical science and applied industries.</t>
  </si>
  <si>
    <t>Procurement ICT Software Facilities for 7 No Institutions and Technical Colleges in the State.</t>
  </si>
  <si>
    <t>To modernize government operations, enhance service delivery efficiency, and drive digital transformation across public institutions.</t>
  </si>
  <si>
    <t>SPDO-MST-P-23-00018</t>
  </si>
  <si>
    <t>SPDO-MST-P-23-00019</t>
  </si>
  <si>
    <t xml:space="preserve">To bring qualitative health care closer to the people  </t>
  </si>
  <si>
    <t>PROCUREMENT OF DENTAL EQUIPMENT FOR DENTAL CLINIC UNIT AT SPECIALIST HOSPITAL JALINGO</t>
  </si>
  <si>
    <t>RENOVATION/REMODELING OF DENTAL CLINIC UNIT AT SPECIALIST HOSPITAL JALINGO</t>
  </si>
  <si>
    <t xml:space="preserve">CT – SCAN </t>
  </si>
  <si>
    <t xml:space="preserve">Construction /Equipping Gh Karim, Karim – Lamido </t>
  </si>
  <si>
    <t xml:space="preserve">General Hospital Warwar </t>
  </si>
  <si>
    <t xml:space="preserve">To bring qualitative health care closer to the people    </t>
  </si>
  <si>
    <t>SPDO-MHT-P-23-00068</t>
  </si>
  <si>
    <t>SPDO-MHT-P-23-00069</t>
  </si>
  <si>
    <t>300 sanitation jobs: Created for women and youths in Jalingo within 74 hours of assumption</t>
  </si>
  <si>
    <t>Teaching Hospital: First time ever Taraba gets a Teaching Hospital</t>
  </si>
  <si>
    <t>Doctors’ salaries increased (healthcare workers salary increased)</t>
  </si>
  <si>
    <t>Commencement of payment bonded medical students on salary of GL 5 and GL 7</t>
  </si>
  <si>
    <t>4. Recruitment of additional 500 Nurses and Midwives by Health Service Management Board</t>
  </si>
  <si>
    <t>Funded matriculations, convocation and accreditation exercises in all the tertiary institutions in the state.</t>
  </si>
  <si>
    <t>N500m start-up fund under the youth agency</t>
  </si>
  <si>
    <t>Launched: Electronic portal for filing criminal cases in Taraba State High Courts</t>
  </si>
  <si>
    <t>Legal Backing: Chief Judge signed Taraba State Civil Procedure Rules 2026 + Practice Direction on e-filing</t>
  </si>
  <si>
    <t>Employment of additional 20 lawyers</t>
  </si>
  <si>
    <t>MNP</t>
  </si>
  <si>
    <t>Ministry of Nursery and Primary Education</t>
  </si>
  <si>
    <t>SPDO-MNP-P-23-00001</t>
  </si>
  <si>
    <t>SPDO-MNP-P-23-00002</t>
  </si>
  <si>
    <t>25/07/2026</t>
  </si>
  <si>
    <t>24/08/2026</t>
  </si>
  <si>
    <t>Construction of 1000 units of pupils desk for distribution to public primary schools and transportation to various destination</t>
  </si>
  <si>
    <t xml:space="preserve">Take-off Grand for the Ministry To renovate and Furnish the office space at TSUBEB former office at Kasuwan Yelwa, Jalingo. </t>
  </si>
  <si>
    <t>To create a conducive environment for its staff</t>
  </si>
  <si>
    <t>18/07/2026</t>
  </si>
  <si>
    <t>NIGERIAN LAW SCHOOL YOLA CAMPUS</t>
  </si>
  <si>
    <t>STUDENTS' HOSTEL</t>
  </si>
  <si>
    <t>SPDO-MJT-P-23-00011</t>
  </si>
  <si>
    <t xml:space="preserve">Her Excellency Office Renovation, Remodeling &amp; Furnishing </t>
  </si>
  <si>
    <t>Provision of Office Accommodation &amp; Hall</t>
  </si>
  <si>
    <t>SPDO-MWC-P-23-00025</t>
  </si>
  <si>
    <t>Justice</t>
  </si>
  <si>
    <t>Sanitation Agency</t>
  </si>
  <si>
    <t>HSMB</t>
  </si>
  <si>
    <t>Youth Agency</t>
  </si>
  <si>
    <t>SSA</t>
  </si>
  <si>
    <t>SPDO-SSA-P-23-00001</t>
  </si>
  <si>
    <t xml:space="preserve">300 sanitation jobs: </t>
  </si>
  <si>
    <t>30/05/2023</t>
  </si>
  <si>
    <t>Created for women and youths in Jalingo within 74 hours of assumption and is a continues process</t>
  </si>
  <si>
    <t>YDA</t>
  </si>
  <si>
    <t>Youth Development Agency</t>
  </si>
  <si>
    <t>A dedicated ₦500 million fund under the Youth Agency to provide start-up financing and support for young entrepreneurs, enabling them to establish or expand businesses, create jobs, and promote youth-led economic development across the State.</t>
  </si>
  <si>
    <t>State Sanitation Agency</t>
  </si>
  <si>
    <t>SPDO-YDA-P-23-00001</t>
  </si>
  <si>
    <t>Procurement of Vehicle</t>
  </si>
  <si>
    <t>Official Use</t>
  </si>
  <si>
    <t>Purchase 2Nos JAC Hilux</t>
  </si>
  <si>
    <t>SPDO-MFB-P-23-00031</t>
  </si>
  <si>
    <t>SPDO-MFB-P-23-00032</t>
  </si>
  <si>
    <t>Renovation and Upgrade of Trade Fair Complex, Jalingo</t>
  </si>
  <si>
    <t>To foster trade relationship within and outside Nigeria</t>
  </si>
  <si>
    <t xml:space="preserve">Construction, Renovation And Remodelling Of Government Day Secondary School Nyamusala, Jalingo
</t>
  </si>
  <si>
    <t xml:space="preserve">Nwonyo Annual Fishing and Traditional Festival   </t>
  </si>
  <si>
    <t>Development of Taraba State Economic Economic Development Projects with ECOWAS Bank of Investment and Development (EBID) Development Projects with ECOWAS Bank for Investment and Development (EBID)</t>
  </si>
  <si>
    <t xml:space="preserve">Procurement of 100,000 MT of assorted fertilizers </t>
  </si>
  <si>
    <t xml:space="preserve">Purchase of 10,000 MT  assorted Grains under the  Buffer stock programme </t>
  </si>
  <si>
    <t xml:space="preserve">Payment for State Insurance  Premium Contribution </t>
  </si>
  <si>
    <t xml:space="preserve">Taraba Accelerated  Agricultural and Rural  Development Scheme  (TAARDS) Phase 1 </t>
  </si>
  <si>
    <t xml:space="preserve">Training on Seed Multiplication in India </t>
  </si>
  <si>
    <t xml:space="preserve"> Purchase of Certified  Assorted Seeds for  Agricultural Development in  the State. </t>
  </si>
  <si>
    <t xml:space="preserve">Purchase of 500,000 Bundles of TME419 Cassava Stems for  Distribution to Farmers in the  State </t>
  </si>
  <si>
    <t xml:space="preserve"> Procurement of Agro  Chemicals (Herbicides) and Equipment (Knapsack Sprayers) in Taraba State </t>
  </si>
  <si>
    <t xml:space="preserve">Procurement Of 18No. Mini Storage Bins 10mt Capacity in Jalingo </t>
  </si>
  <si>
    <t>Proposal for 3D Mapping and Modelling of Groundwater Resources including Borehole Rehabilitation Across the 16 LGAs in Taraba State, Nigeria</t>
  </si>
  <si>
    <t>Reconstruction of 500 Cubic Meter Water Tank and Rehabilitation of In-line Chlorination System at Karofi 1 Well Field</t>
  </si>
  <si>
    <t>National Festival of Arts and  Culture (NAFEST)</t>
  </si>
  <si>
    <t>International Arts and Crafts  Expo (INAC)</t>
  </si>
  <si>
    <t>Ministry of Nuresery &amp; Primary Education</t>
  </si>
  <si>
    <t>15/1/2023</t>
  </si>
  <si>
    <t>SPDO-MAG-P-23-00016</t>
  </si>
  <si>
    <t>SPDO-MDI-P-23-00035</t>
  </si>
  <si>
    <t>SPDO-MED-P-23-00078</t>
  </si>
  <si>
    <t>SPDO-MHT-P-23-00070</t>
  </si>
  <si>
    <t>SPDO-TSU-P-23-00017</t>
  </si>
  <si>
    <t>SPDO-TSU-P-23-00018</t>
  </si>
  <si>
    <t>27/11/2023</t>
  </si>
  <si>
    <t>SPDO-MHT-P-23-00071</t>
  </si>
  <si>
    <t>HE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</si>
</sst>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dd/mm/yyyy"/>
    <numFmt numFmtId="166" formatCode="[$-F800]dddd\,\ mmmm\ dd\,\ yyyy"/>
  </numFmts>
  <fonts count="14" x14ac:knownFonts="1">
    <font>
      <sz val="11"/>
      <color theme="1"/>
      <name val="Calibri"/>
      <family val="2"/>
      <scheme val="minor"/>
    </font>
    <font>
      <b/>
      <sz val="11"/>
      <color theme="1"/>
      <name val="Calibri"/>
      <family val="2"/>
      <scheme val="minor"/>
    </font>
    <font>
      <b/>
      <u/>
      <sz val="12"/>
      <color rgb="FF000000"/>
      <name val="Calibri"/>
      <family val="2"/>
      <scheme val="minor"/>
    </font>
    <font>
      <b/>
      <u/>
      <sz val="12"/>
      <color theme="1"/>
      <name val="Calibri"/>
      <family val="2"/>
      <scheme val="minor"/>
    </font>
    <font>
      <sz val="12"/>
      <color rgb="FF000000"/>
      <name val="Calibri"/>
      <family val="2"/>
      <scheme val="minor"/>
    </font>
    <font>
      <sz val="8"/>
      <color theme="1"/>
      <name val="Calibri"/>
      <family val="2"/>
      <scheme val="minor"/>
    </font>
    <font>
      <sz val="11"/>
      <color theme="1"/>
      <name val="Calibri"/>
      <family val="2"/>
      <scheme val="minor"/>
    </font>
    <font>
      <sz val="8"/>
      <name val="Calibri"/>
      <family val="2"/>
      <scheme val="minor"/>
    </font>
    <font>
      <b/>
      <sz val="11"/>
      <name val="Calibri"/>
      <family val="2"/>
      <scheme val="minor"/>
    </font>
    <font>
      <sz val="9"/>
      <color indexed="81"/>
      <name val="Tahoma"/>
      <family val="2"/>
    </font>
    <font>
      <b/>
      <sz val="9"/>
      <color indexed="81"/>
      <name val="Tahoma"/>
      <family val="2"/>
    </font>
    <font>
      <sz val="12"/>
      <color theme="1"/>
      <name val="Calibri"/>
      <family val="2"/>
      <scheme val="minor"/>
    </font>
    <font>
      <sz val="11"/>
      <color rgb="FF000000"/>
      <name val="Aptos Narrow"/>
      <family val="2"/>
    </font>
    <font>
      <sz val="11"/>
      <color theme="1"/>
      <name val="Cambria"/>
      <family val="1"/>
    </font>
  </fonts>
  <fills count="7">
    <fill>
      <patternFill patternType="none"/>
    </fill>
    <fill>
      <patternFill patternType="gray125"/>
    </fill>
    <fill>
      <patternFill patternType="solid">
        <fgColor theme="7"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9"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6" fillId="0" borderId="0" applyFont="0" applyFill="0" applyBorder="0" applyAlignment="0" applyProtection="0"/>
    <xf numFmtId="9" fontId="6" fillId="0" borderId="0" applyFont="0" applyFill="0" applyBorder="0" applyAlignment="0" applyProtection="0"/>
  </cellStyleXfs>
  <cellXfs count="70">
    <xf numFmtId="0" fontId="0" fillId="0" borderId="0" xfId="0"/>
    <xf numFmtId="0" fontId="2" fillId="0" borderId="0" xfId="0" applyFont="1" applyAlignment="1">
      <alignment vertical="center"/>
    </xf>
    <xf numFmtId="9" fontId="0" fillId="0" borderId="0" xfId="0" applyNumberFormat="1"/>
    <xf numFmtId="0" fontId="1" fillId="0" borderId="0" xfId="0" applyFont="1"/>
    <xf numFmtId="0" fontId="3" fillId="0" borderId="0" xfId="0" applyFont="1" applyAlignment="1">
      <alignment vertical="center"/>
    </xf>
    <xf numFmtId="0" fontId="4" fillId="0" borderId="0" xfId="0" applyFont="1" applyAlignment="1">
      <alignment vertical="center"/>
    </xf>
    <xf numFmtId="10" fontId="0" fillId="0" borderId="0" xfId="0" applyNumberFormat="1"/>
    <xf numFmtId="0" fontId="5" fillId="0" borderId="0" xfId="0" applyFont="1" applyAlignment="1">
      <alignment vertical="center" wrapText="1"/>
    </xf>
    <xf numFmtId="1" fontId="0" fillId="0" borderId="0" xfId="0" applyNumberFormat="1"/>
    <xf numFmtId="0" fontId="8" fillId="2" borderId="1" xfId="0" applyFont="1" applyFill="1" applyBorder="1" applyAlignment="1">
      <alignment horizontal="left" vertical="top" wrapText="1"/>
    </xf>
    <xf numFmtId="0" fontId="0" fillId="0" borderId="0" xfId="0" applyAlignment="1">
      <alignment wrapText="1"/>
    </xf>
    <xf numFmtId="0" fontId="0" fillId="4" borderId="0" xfId="0" applyFill="1" applyAlignment="1">
      <alignment wrapText="1"/>
    </xf>
    <xf numFmtId="164" fontId="0" fillId="0" borderId="0" xfId="1" applyFont="1" applyAlignment="1">
      <alignment wrapText="1"/>
    </xf>
    <xf numFmtId="164" fontId="0" fillId="4" borderId="0" xfId="1" applyFont="1" applyFill="1" applyAlignment="1">
      <alignment wrapText="1"/>
    </xf>
    <xf numFmtId="43" fontId="0" fillId="0" borderId="0" xfId="0" applyNumberFormat="1" applyAlignment="1">
      <alignment wrapText="1"/>
    </xf>
    <xf numFmtId="0" fontId="0" fillId="3" borderId="0" xfId="0" applyFill="1"/>
    <xf numFmtId="0" fontId="0" fillId="3" borderId="0" xfId="0" applyFill="1" applyAlignment="1">
      <alignment wrapText="1"/>
    </xf>
    <xf numFmtId="164" fontId="0" fillId="0" borderId="0" xfId="1" applyFont="1"/>
    <xf numFmtId="164" fontId="0" fillId="3" borderId="0" xfId="1" applyFont="1" applyFill="1"/>
    <xf numFmtId="164" fontId="0" fillId="3" borderId="0" xfId="1" applyFont="1" applyFill="1" applyAlignment="1">
      <alignment horizontal="left"/>
    </xf>
    <xf numFmtId="164" fontId="0" fillId="0" borderId="0" xfId="1" applyFont="1" applyAlignment="1"/>
    <xf numFmtId="164" fontId="0" fillId="3" borderId="0" xfId="1" applyFont="1" applyFill="1" applyAlignment="1"/>
    <xf numFmtId="0" fontId="0" fillId="5" borderId="0" xfId="0" applyFill="1"/>
    <xf numFmtId="0" fontId="0" fillId="5" borderId="0" xfId="0" applyFill="1" applyAlignment="1">
      <alignment wrapText="1"/>
    </xf>
    <xf numFmtId="164" fontId="0" fillId="5" borderId="0" xfId="1" applyFont="1" applyFill="1" applyAlignment="1">
      <alignment horizontal="left"/>
    </xf>
    <xf numFmtId="164" fontId="0" fillId="5" borderId="0" xfId="1" applyFont="1" applyFill="1" applyAlignment="1"/>
    <xf numFmtId="0" fontId="0" fillId="0" borderId="1" xfId="0" applyBorder="1"/>
    <xf numFmtId="14" fontId="0" fillId="6" borderId="1" xfId="0" applyNumberFormat="1" applyFill="1" applyBorder="1" applyAlignment="1">
      <alignment horizontal="right"/>
    </xf>
    <xf numFmtId="14" fontId="0" fillId="0" borderId="1" xfId="0" applyNumberFormat="1" applyBorder="1" applyAlignment="1">
      <alignment horizontal="right"/>
    </xf>
    <xf numFmtId="164" fontId="0" fillId="0" borderId="1" xfId="1" applyFont="1" applyFill="1" applyBorder="1" applyAlignment="1">
      <alignment horizontal="right"/>
    </xf>
    <xf numFmtId="164" fontId="0" fillId="0" borderId="1" xfId="1" applyFont="1" applyFill="1" applyBorder="1"/>
    <xf numFmtId="164" fontId="0" fillId="0" borderId="1" xfId="1" applyFont="1" applyBorder="1" applyAlignment="1">
      <alignment horizontal="right"/>
    </xf>
    <xf numFmtId="0" fontId="0" fillId="0" borderId="1" xfId="0" applyBorder="1" applyAlignment="1">
      <alignment wrapText="1"/>
    </xf>
    <xf numFmtId="164" fontId="0" fillId="0" borderId="1" xfId="1" applyFont="1" applyFill="1" applyBorder="1" applyAlignment="1"/>
    <xf numFmtId="164" fontId="0" fillId="0" borderId="1" xfId="1" applyFont="1" applyBorder="1" applyAlignment="1"/>
    <xf numFmtId="0" fontId="0" fillId="0" borderId="1" xfId="0" applyBorder="1" applyAlignment="1">
      <alignment horizontal="right"/>
    </xf>
    <xf numFmtId="9" fontId="0" fillId="0" borderId="1" xfId="2" applyFont="1" applyFill="1" applyBorder="1" applyAlignment="1">
      <alignment horizontal="right"/>
    </xf>
    <xf numFmtId="9" fontId="0" fillId="0" borderId="1" xfId="2" applyFont="1" applyBorder="1" applyAlignment="1">
      <alignment horizontal="right"/>
    </xf>
    <xf numFmtId="14" fontId="8" fillId="2" borderId="1" xfId="0" applyNumberFormat="1" applyFont="1" applyFill="1" applyBorder="1" applyAlignment="1">
      <alignment horizontal="right" vertical="top" wrapText="1"/>
    </xf>
    <xf numFmtId="0" fontId="11" fillId="0" borderId="1" xfId="0" applyFont="1" applyBorder="1" applyAlignment="1">
      <alignment vertical="center" wrapText="1"/>
    </xf>
    <xf numFmtId="0" fontId="12" fillId="0" borderId="1" xfId="0" applyFont="1" applyBorder="1"/>
    <xf numFmtId="4" fontId="0" fillId="0" borderId="1" xfId="0" applyNumberFormat="1" applyBorder="1" applyAlignment="1">
      <alignment horizontal="right"/>
    </xf>
    <xf numFmtId="0" fontId="13" fillId="0" borderId="1" xfId="0" applyFont="1" applyBorder="1"/>
    <xf numFmtId="164" fontId="0" fillId="0" borderId="1" xfId="1" applyFont="1" applyFill="1" applyBorder="1" applyAlignment="1">
      <alignment horizontal="right" wrapText="1"/>
    </xf>
    <xf numFmtId="164" fontId="0" fillId="0" borderId="1" xfId="1" applyFont="1" applyFill="1" applyBorder="1" applyAlignment="1">
      <alignment horizontal="left"/>
    </xf>
    <xf numFmtId="165" fontId="0" fillId="0" borderId="1" xfId="0" applyNumberFormat="1" applyBorder="1" applyAlignment="1">
      <alignment horizontal="right"/>
    </xf>
    <xf numFmtId="4" fontId="11" fillId="0" borderId="1" xfId="0" applyNumberFormat="1" applyFont="1" applyBorder="1" applyAlignment="1">
      <alignment horizontal="right" vertical="center" wrapText="1"/>
    </xf>
    <xf numFmtId="164" fontId="11" fillId="0" borderId="1" xfId="1" applyFont="1" applyFill="1" applyBorder="1" applyAlignment="1">
      <alignment horizontal="right" vertical="center" wrapText="1"/>
    </xf>
    <xf numFmtId="164" fontId="0" fillId="0" borderId="0" xfId="1" applyFont="1" applyFill="1" applyBorder="1" applyAlignment="1"/>
    <xf numFmtId="166" fontId="0" fillId="0" borderId="1" xfId="0" applyNumberFormat="1" applyBorder="1" applyAlignment="1">
      <alignment horizontal="right"/>
    </xf>
    <xf numFmtId="164" fontId="0" fillId="0" borderId="0" xfId="1" applyFont="1" applyFill="1" applyBorder="1" applyAlignment="1">
      <alignment horizontal="right"/>
    </xf>
    <xf numFmtId="3" fontId="11" fillId="0" borderId="1" xfId="0" applyNumberFormat="1" applyFont="1" applyBorder="1" applyAlignment="1">
      <alignment horizontal="right"/>
    </xf>
    <xf numFmtId="164" fontId="12" fillId="0" borderId="1" xfId="1" applyFont="1" applyFill="1" applyBorder="1" applyAlignment="1">
      <alignment horizontal="right" vertical="center" wrapText="1"/>
    </xf>
    <xf numFmtId="3" fontId="0" fillId="0" borderId="1" xfId="0" applyNumberFormat="1" applyBorder="1" applyAlignment="1">
      <alignment horizontal="right"/>
    </xf>
    <xf numFmtId="164" fontId="11" fillId="0" borderId="1" xfId="1" applyFont="1" applyFill="1" applyBorder="1" applyAlignment="1">
      <alignment horizontal="right"/>
    </xf>
    <xf numFmtId="4" fontId="11" fillId="0" borderId="1" xfId="0" applyNumberFormat="1" applyFont="1" applyBorder="1" applyAlignment="1">
      <alignment horizontal="right"/>
    </xf>
    <xf numFmtId="4" fontId="11" fillId="0" borderId="1" xfId="0" applyNumberFormat="1" applyFont="1" applyBorder="1"/>
    <xf numFmtId="14" fontId="11" fillId="0" borderId="1" xfId="0" applyNumberFormat="1" applyFont="1" applyBorder="1" applyAlignment="1">
      <alignment horizontal="right" vertical="center" wrapText="1"/>
    </xf>
    <xf numFmtId="0" fontId="8" fillId="4" borderId="1" xfId="0" applyFont="1" applyFill="1" applyBorder="1" applyAlignment="1">
      <alignment horizontal="left" vertical="top" wrapText="1"/>
    </xf>
    <xf numFmtId="14" fontId="8" fillId="2" borderId="1" xfId="0" applyNumberFormat="1" applyFont="1" applyFill="1" applyBorder="1" applyAlignment="1">
      <alignment horizontal="left" vertical="top" wrapText="1"/>
    </xf>
    <xf numFmtId="164" fontId="8" fillId="2" borderId="1" xfId="1" applyFont="1" applyFill="1" applyBorder="1" applyAlignment="1">
      <alignment horizontal="left" vertical="top" wrapText="1"/>
    </xf>
    <xf numFmtId="9" fontId="8" fillId="2" borderId="1" xfId="2" applyFont="1" applyFill="1" applyBorder="1" applyAlignment="1">
      <alignment horizontal="left" vertical="top" wrapText="1"/>
    </xf>
    <xf numFmtId="0" fontId="0" fillId="0" borderId="1" xfId="0" applyBorder="1" applyAlignment="1">
      <alignment horizontal="left"/>
    </xf>
    <xf numFmtId="14" fontId="0" fillId="0" borderId="1" xfId="0" applyNumberFormat="1" applyBorder="1" applyAlignment="1">
      <alignment wrapText="1"/>
    </xf>
    <xf numFmtId="164" fontId="0" fillId="0" borderId="1" xfId="1" applyFont="1" applyBorder="1" applyAlignment="1">
      <alignment wrapText="1"/>
    </xf>
    <xf numFmtId="0" fontId="0" fillId="0" borderId="1" xfId="0" applyBorder="1" applyAlignment="1">
      <alignment horizontal="right" wrapText="1"/>
    </xf>
    <xf numFmtId="0" fontId="8" fillId="2" borderId="1" xfId="0" applyFont="1" applyFill="1" applyBorder="1" applyAlignment="1">
      <alignment horizontal="right" vertical="top" wrapText="1"/>
    </xf>
    <xf numFmtId="164" fontId="0" fillId="0" borderId="1" xfId="1" applyFont="1" applyBorder="1"/>
    <xf numFmtId="9" fontId="0" fillId="0" borderId="1" xfId="2" applyFont="1" applyBorder="1"/>
    <xf numFmtId="14" fontId="0" fillId="0" borderId="1" xfId="0" applyNumberFormat="1" applyBorder="1"/>
  </cellXfs>
  <cellStyles count="3">
    <cellStyle name="Comma" xfId="1" builtinId="3"/>
    <cellStyle name="Normal" xfId="0" builtinId="0"/>
    <cellStyle name="Percent" xfId="2"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922EBE-7E24-4E45-9FA9-3AE89D2ECEE5}">
  <we:reference id="wa200005502" version="1.0.0.11" store="en-US" storeType="OMEX"/>
  <we:alternateReferences>
    <we:reference id="WA200005502" version="1.0.0.11" store="" storeType="OMEX"/>
  </we:alternateReferences>
  <we:properties>
    <we:property name="docId" value="&quot;uGd5zQ8c2M0cp4-AhYcHY&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F529-9C74-4781-90A4-216A44E89564}">
  <sheetPr codeName="Sheet1"/>
  <dimension ref="A1:Z1047855"/>
  <sheetViews>
    <sheetView tabSelected="1" zoomScale="72" zoomScaleNormal="60" workbookViewId="0">
      <pane ySplit="1" topLeftCell="A847" activePane="bottomLeft" state="frozen"/>
      <selection pane="bottomLeft" activeCell="R623" sqref="R623"/>
    </sheetView>
  </sheetViews>
  <sheetFormatPr defaultColWidth="9.1796875" defaultRowHeight="14.5" x14ac:dyDescent="0.35"/>
  <cols>
    <col min="1" max="1" width="21.81640625" style="26" bestFit="1" customWidth="1"/>
    <col min="2" max="2" width="85.453125" style="32" customWidth="1"/>
    <col min="3" max="3" width="65.08984375" style="26" customWidth="1"/>
    <col min="4" max="4" width="14" style="26" customWidth="1"/>
    <col min="5" max="5" width="37.453125" style="26" customWidth="1"/>
    <col min="6" max="6" width="11.08984375" style="26" bestFit="1" customWidth="1"/>
    <col min="7" max="7" width="44" style="26" bestFit="1" customWidth="1"/>
    <col min="8" max="8" width="20" style="26" customWidth="1"/>
    <col min="9" max="9" width="16" style="26" customWidth="1"/>
    <col min="10" max="10" width="29" style="26" customWidth="1"/>
    <col min="11" max="11" width="18.453125" style="26" bestFit="1" customWidth="1"/>
    <col min="12" max="12" width="36.08984375" style="26" bestFit="1" customWidth="1"/>
    <col min="13" max="13" width="13.7265625" style="26" customWidth="1"/>
    <col min="14" max="14" width="28.7265625" style="28" bestFit="1" customWidth="1"/>
    <col min="15" max="15" width="28.1796875" style="28" bestFit="1" customWidth="1"/>
    <col min="16" max="16" width="9" style="26" bestFit="1" customWidth="1"/>
    <col min="17" max="17" width="10.7265625" style="35" bestFit="1" customWidth="1"/>
    <col min="18" max="18" width="21.453125" style="31" bestFit="1" customWidth="1"/>
    <col min="19" max="19" width="18.26953125" style="34" bestFit="1" customWidth="1"/>
    <col min="20" max="20" width="21.453125" style="31" bestFit="1" customWidth="1"/>
    <col min="21" max="21" width="18.6328125" style="37" bestFit="1" customWidth="1"/>
    <col min="22" max="22" width="8.54296875" style="26" bestFit="1" customWidth="1"/>
    <col min="23" max="23" width="20.1796875" style="26" customWidth="1"/>
    <col min="24" max="24" width="101.36328125" style="26" bestFit="1" customWidth="1"/>
    <col min="25" max="25" width="48.26953125" style="26" bestFit="1" customWidth="1"/>
    <col min="26" max="26" width="47.7265625" style="26" bestFit="1" customWidth="1"/>
    <col min="27" max="16384" width="9.1796875" style="26"/>
  </cols>
  <sheetData>
    <row r="1" spans="1:26" s="62" customFormat="1" ht="46.5" customHeight="1" x14ac:dyDescent="0.35">
      <c r="A1" s="9" t="s">
        <v>0</v>
      </c>
      <c r="B1" s="9" t="s">
        <v>1</v>
      </c>
      <c r="C1" s="9" t="s">
        <v>2</v>
      </c>
      <c r="D1" s="9" t="s">
        <v>3</v>
      </c>
      <c r="E1" s="9" t="s">
        <v>4</v>
      </c>
      <c r="F1" s="58" t="s">
        <v>5</v>
      </c>
      <c r="G1" s="58" t="s">
        <v>6</v>
      </c>
      <c r="H1" s="9" t="s">
        <v>7</v>
      </c>
      <c r="I1" s="9" t="s">
        <v>8</v>
      </c>
      <c r="J1" s="9" t="s">
        <v>9</v>
      </c>
      <c r="K1" s="9" t="s">
        <v>10</v>
      </c>
      <c r="L1" s="9" t="s">
        <v>11</v>
      </c>
      <c r="M1" s="9" t="s">
        <v>12</v>
      </c>
      <c r="N1" s="59" t="s">
        <v>13</v>
      </c>
      <c r="O1" s="38" t="s">
        <v>14</v>
      </c>
      <c r="P1" s="9" t="s">
        <v>15</v>
      </c>
      <c r="Q1" s="66" t="s">
        <v>16</v>
      </c>
      <c r="R1" s="60" t="s">
        <v>17</v>
      </c>
      <c r="S1" s="60" t="s">
        <v>18</v>
      </c>
      <c r="T1" s="60" t="s">
        <v>19</v>
      </c>
      <c r="U1" s="61" t="s">
        <v>20</v>
      </c>
      <c r="V1" s="9" t="s">
        <v>21</v>
      </c>
      <c r="W1" s="9" t="s">
        <v>22</v>
      </c>
      <c r="X1" s="9" t="s">
        <v>23</v>
      </c>
      <c r="Y1" s="9" t="s">
        <v>24</v>
      </c>
      <c r="Z1" s="9" t="s">
        <v>25</v>
      </c>
    </row>
    <row r="2" spans="1:26" x14ac:dyDescent="0.35">
      <c r="A2" s="26" t="s">
        <v>1259</v>
      </c>
      <c r="B2" s="32" t="s">
        <v>1260</v>
      </c>
      <c r="C2" s="26" t="s">
        <v>1260</v>
      </c>
      <c r="D2" s="26" t="s">
        <v>117</v>
      </c>
      <c r="E2" s="26" t="s">
        <v>1261</v>
      </c>
      <c r="F2" s="26" t="s">
        <v>1249</v>
      </c>
      <c r="G2" s="26" t="s">
        <v>1262</v>
      </c>
      <c r="J2" s="26" t="s">
        <v>194</v>
      </c>
      <c r="L2" s="26" t="s">
        <v>40</v>
      </c>
      <c r="N2" s="28">
        <v>45292</v>
      </c>
      <c r="O2" s="45">
        <v>45657</v>
      </c>
      <c r="P2" s="26">
        <v>52</v>
      </c>
      <c r="Q2" s="35" t="s">
        <v>49</v>
      </c>
      <c r="R2" s="29">
        <v>50000000</v>
      </c>
      <c r="S2" s="26"/>
      <c r="T2" s="29">
        <v>0</v>
      </c>
      <c r="U2" s="36">
        <v>0</v>
      </c>
      <c r="X2" s="26" t="s">
        <v>474</v>
      </c>
    </row>
    <row r="3" spans="1:26" x14ac:dyDescent="0.35">
      <c r="A3" s="26" t="s">
        <v>1271</v>
      </c>
      <c r="B3" s="32" t="s">
        <v>1272</v>
      </c>
      <c r="C3" s="26" t="s">
        <v>1272</v>
      </c>
      <c r="D3" s="26" t="s">
        <v>28</v>
      </c>
      <c r="E3" s="26" t="s">
        <v>1273</v>
      </c>
      <c r="F3" s="26" t="s">
        <v>1249</v>
      </c>
      <c r="G3" s="26" t="s">
        <v>1262</v>
      </c>
      <c r="J3" s="26" t="s">
        <v>31</v>
      </c>
      <c r="L3" s="26" t="s">
        <v>32</v>
      </c>
      <c r="N3" s="28">
        <v>45292</v>
      </c>
      <c r="O3" s="45">
        <v>45657</v>
      </c>
      <c r="P3" s="26">
        <v>52</v>
      </c>
      <c r="Q3" s="35" t="s">
        <v>49</v>
      </c>
      <c r="R3" s="29">
        <v>90000000</v>
      </c>
      <c r="S3" s="26"/>
      <c r="T3" s="29">
        <v>0</v>
      </c>
      <c r="U3" s="36">
        <v>0</v>
      </c>
      <c r="X3" s="26" t="s">
        <v>126</v>
      </c>
    </row>
    <row r="4" spans="1:26" x14ac:dyDescent="0.35">
      <c r="A4" s="26" t="s">
        <v>1274</v>
      </c>
      <c r="B4" s="32" t="s">
        <v>1275</v>
      </c>
      <c r="C4" s="26" t="s">
        <v>1275</v>
      </c>
      <c r="D4" s="26" t="s">
        <v>28</v>
      </c>
      <c r="E4" s="26" t="s">
        <v>1273</v>
      </c>
      <c r="F4" s="26" t="s">
        <v>1249</v>
      </c>
      <c r="G4" s="26" t="s">
        <v>1262</v>
      </c>
      <c r="J4" s="26" t="s">
        <v>31</v>
      </c>
      <c r="L4" s="26" t="s">
        <v>32</v>
      </c>
      <c r="N4" s="28">
        <v>45292</v>
      </c>
      <c r="O4" s="45">
        <v>45657</v>
      </c>
      <c r="P4" s="26">
        <v>52</v>
      </c>
      <c r="Q4" s="35" t="s">
        <v>49</v>
      </c>
      <c r="R4" s="29">
        <v>260000000</v>
      </c>
      <c r="S4" s="26"/>
      <c r="T4" s="29">
        <v>0</v>
      </c>
      <c r="U4" s="36">
        <v>0</v>
      </c>
      <c r="X4" s="26" t="s">
        <v>126</v>
      </c>
    </row>
    <row r="5" spans="1:26" x14ac:dyDescent="0.35">
      <c r="A5" s="26" t="s">
        <v>1276</v>
      </c>
      <c r="B5" s="32" t="s">
        <v>1277</v>
      </c>
      <c r="C5" s="26" t="s">
        <v>1277</v>
      </c>
      <c r="D5" s="26" t="s">
        <v>28</v>
      </c>
      <c r="E5" s="26" t="s">
        <v>1273</v>
      </c>
      <c r="F5" s="26" t="s">
        <v>1249</v>
      </c>
      <c r="G5" s="26" t="s">
        <v>1262</v>
      </c>
      <c r="J5" s="26" t="s">
        <v>31</v>
      </c>
      <c r="L5" s="26" t="s">
        <v>32</v>
      </c>
      <c r="N5" s="28">
        <v>45292</v>
      </c>
      <c r="O5" s="45">
        <v>45657</v>
      </c>
      <c r="P5" s="26">
        <v>52</v>
      </c>
      <c r="Q5" s="35" t="s">
        <v>49</v>
      </c>
      <c r="R5" s="29">
        <v>50000000</v>
      </c>
      <c r="S5" s="26"/>
      <c r="T5" s="29">
        <v>0</v>
      </c>
      <c r="U5" s="36">
        <v>0</v>
      </c>
      <c r="X5" s="26" t="s">
        <v>126</v>
      </c>
    </row>
    <row r="6" spans="1:26" x14ac:dyDescent="0.35">
      <c r="A6" s="26" t="s">
        <v>1278</v>
      </c>
      <c r="B6" s="32" t="s">
        <v>1279</v>
      </c>
      <c r="C6" s="26" t="s">
        <v>1279</v>
      </c>
      <c r="D6" s="26" t="s">
        <v>28</v>
      </c>
      <c r="E6" s="26" t="s">
        <v>1273</v>
      </c>
      <c r="F6" s="26" t="s">
        <v>1249</v>
      </c>
      <c r="G6" s="26" t="s">
        <v>1262</v>
      </c>
      <c r="J6" s="26" t="s">
        <v>31</v>
      </c>
      <c r="L6" s="26" t="s">
        <v>32</v>
      </c>
      <c r="N6" s="28">
        <v>45292</v>
      </c>
      <c r="O6" s="45">
        <v>45657</v>
      </c>
      <c r="P6" s="26">
        <v>52</v>
      </c>
      <c r="Q6" s="35" t="s">
        <v>49</v>
      </c>
      <c r="R6" s="29">
        <v>2000000</v>
      </c>
      <c r="S6" s="26"/>
      <c r="T6" s="29">
        <v>0</v>
      </c>
      <c r="U6" s="36">
        <v>0</v>
      </c>
      <c r="X6" s="26" t="s">
        <v>126</v>
      </c>
    </row>
    <row r="7" spans="1:26" x14ac:dyDescent="0.35">
      <c r="A7" s="26" t="s">
        <v>1263</v>
      </c>
      <c r="B7" s="32" t="s">
        <v>1264</v>
      </c>
      <c r="C7" s="26" t="s">
        <v>1264</v>
      </c>
      <c r="D7" s="26" t="s">
        <v>28</v>
      </c>
      <c r="E7" s="26" t="s">
        <v>1261</v>
      </c>
      <c r="F7" s="26" t="s">
        <v>1249</v>
      </c>
      <c r="G7" s="26" t="s">
        <v>1262</v>
      </c>
      <c r="J7" s="26" t="s">
        <v>31</v>
      </c>
      <c r="L7" s="26" t="s">
        <v>1251</v>
      </c>
      <c r="N7" s="28">
        <v>45292</v>
      </c>
      <c r="O7" s="45">
        <v>45657</v>
      </c>
      <c r="P7" s="26">
        <v>52</v>
      </c>
      <c r="Q7" s="35" t="s">
        <v>49</v>
      </c>
      <c r="R7" s="29">
        <v>80000000</v>
      </c>
      <c r="S7" s="26"/>
      <c r="T7" s="29">
        <v>0</v>
      </c>
      <c r="U7" s="36">
        <v>0</v>
      </c>
      <c r="X7" s="26" t="s">
        <v>100</v>
      </c>
    </row>
    <row r="8" spans="1:26" x14ac:dyDescent="0.35">
      <c r="A8" s="26" t="s">
        <v>1265</v>
      </c>
      <c r="B8" s="32" t="s">
        <v>1266</v>
      </c>
      <c r="C8" s="26" t="s">
        <v>1266</v>
      </c>
      <c r="D8" s="26" t="s">
        <v>28</v>
      </c>
      <c r="E8" s="26" t="s">
        <v>1261</v>
      </c>
      <c r="F8" s="26" t="s">
        <v>1249</v>
      </c>
      <c r="G8" s="26" t="s">
        <v>1262</v>
      </c>
      <c r="J8" s="26" t="s">
        <v>31</v>
      </c>
      <c r="L8" s="26" t="s">
        <v>1251</v>
      </c>
      <c r="N8" s="28">
        <v>45292</v>
      </c>
      <c r="O8" s="45">
        <v>45657</v>
      </c>
      <c r="P8" s="26">
        <v>52</v>
      </c>
      <c r="Q8" s="35" t="s">
        <v>49</v>
      </c>
      <c r="R8" s="29">
        <v>150000000</v>
      </c>
      <c r="S8" s="26"/>
      <c r="T8" s="29">
        <v>0</v>
      </c>
      <c r="U8" s="36">
        <v>0</v>
      </c>
      <c r="X8" s="26" t="s">
        <v>1252</v>
      </c>
    </row>
    <row r="9" spans="1:26" x14ac:dyDescent="0.35">
      <c r="A9" s="26" t="s">
        <v>1267</v>
      </c>
      <c r="B9" s="32" t="s">
        <v>1268</v>
      </c>
      <c r="C9" s="26" t="s">
        <v>1268</v>
      </c>
      <c r="D9" s="26" t="s">
        <v>28</v>
      </c>
      <c r="E9" s="26" t="s">
        <v>1261</v>
      </c>
      <c r="F9" s="26" t="s">
        <v>1249</v>
      </c>
      <c r="G9" s="26" t="s">
        <v>1262</v>
      </c>
      <c r="J9" s="26" t="s">
        <v>31</v>
      </c>
      <c r="L9" s="26" t="s">
        <v>1251</v>
      </c>
      <c r="N9" s="28">
        <v>45292</v>
      </c>
      <c r="O9" s="45">
        <v>45657</v>
      </c>
      <c r="P9" s="26">
        <v>52</v>
      </c>
      <c r="Q9" s="35" t="s">
        <v>49</v>
      </c>
      <c r="R9" s="29">
        <v>15000000</v>
      </c>
      <c r="S9" s="26"/>
      <c r="T9" s="29">
        <v>0</v>
      </c>
      <c r="U9" s="36">
        <v>0</v>
      </c>
      <c r="X9" s="26" t="s">
        <v>1252</v>
      </c>
    </row>
    <row r="10" spans="1:26" x14ac:dyDescent="0.35">
      <c r="A10" s="26" t="s">
        <v>1269</v>
      </c>
      <c r="B10" s="32" t="s">
        <v>1270</v>
      </c>
      <c r="C10" s="26" t="s">
        <v>1270</v>
      </c>
      <c r="D10" s="26" t="s">
        <v>28</v>
      </c>
      <c r="E10" s="26" t="s">
        <v>1261</v>
      </c>
      <c r="F10" s="26" t="s">
        <v>1249</v>
      </c>
      <c r="G10" s="26" t="s">
        <v>1262</v>
      </c>
      <c r="J10" s="26" t="s">
        <v>31</v>
      </c>
      <c r="L10" s="26" t="s">
        <v>1251</v>
      </c>
      <c r="N10" s="28">
        <v>45292</v>
      </c>
      <c r="O10" s="45">
        <v>45657</v>
      </c>
      <c r="P10" s="26">
        <v>52</v>
      </c>
      <c r="Q10" s="35" t="s">
        <v>49</v>
      </c>
      <c r="R10" s="50">
        <v>20000000</v>
      </c>
      <c r="S10" s="26"/>
      <c r="T10" s="50">
        <v>0</v>
      </c>
      <c r="U10" s="36">
        <v>0</v>
      </c>
      <c r="X10" s="26" t="s">
        <v>1252</v>
      </c>
    </row>
    <row r="11" spans="1:26" x14ac:dyDescent="0.35">
      <c r="A11" s="26" t="s">
        <v>1463</v>
      </c>
      <c r="B11" s="32" t="s">
        <v>1464</v>
      </c>
      <c r="C11" s="26" t="s">
        <v>1464</v>
      </c>
      <c r="D11" s="26" t="s">
        <v>28</v>
      </c>
      <c r="E11" s="26" t="s">
        <v>1465</v>
      </c>
      <c r="F11" s="26" t="s">
        <v>1249</v>
      </c>
      <c r="G11" s="26" t="s">
        <v>162</v>
      </c>
      <c r="J11" s="26" t="s">
        <v>146</v>
      </c>
      <c r="L11" s="26" t="s">
        <v>164</v>
      </c>
      <c r="N11" s="28">
        <v>45292</v>
      </c>
      <c r="O11" s="45">
        <v>45657</v>
      </c>
      <c r="P11" s="26">
        <v>52</v>
      </c>
      <c r="Q11" s="35" t="s">
        <v>49</v>
      </c>
      <c r="R11" s="29">
        <v>380000000</v>
      </c>
      <c r="S11" s="26"/>
      <c r="T11" s="29">
        <v>0</v>
      </c>
      <c r="U11" s="36">
        <v>0</v>
      </c>
      <c r="X11" s="26" t="s">
        <v>172</v>
      </c>
    </row>
    <row r="12" spans="1:26" x14ac:dyDescent="0.35">
      <c r="A12" s="26" t="s">
        <v>1466</v>
      </c>
      <c r="B12" s="32" t="s">
        <v>1467</v>
      </c>
      <c r="C12" s="26" t="s">
        <v>1467</v>
      </c>
      <c r="D12" s="26" t="s">
        <v>28</v>
      </c>
      <c r="E12" s="26" t="s">
        <v>1465</v>
      </c>
      <c r="F12" s="26" t="s">
        <v>1249</v>
      </c>
      <c r="G12" s="26" t="s">
        <v>162</v>
      </c>
      <c r="J12" s="26" t="s">
        <v>146</v>
      </c>
      <c r="L12" s="26" t="s">
        <v>164</v>
      </c>
      <c r="N12" s="28">
        <v>45292</v>
      </c>
      <c r="O12" s="45">
        <v>45657</v>
      </c>
      <c r="P12" s="26">
        <v>52</v>
      </c>
      <c r="Q12" s="35" t="s">
        <v>49</v>
      </c>
      <c r="R12" s="29">
        <v>50000000</v>
      </c>
      <c r="S12" s="26"/>
      <c r="T12" s="29">
        <v>0</v>
      </c>
      <c r="U12" s="36">
        <v>0</v>
      </c>
      <c r="X12" s="26" t="s">
        <v>172</v>
      </c>
    </row>
    <row r="13" spans="1:26" x14ac:dyDescent="0.35">
      <c r="A13" s="26" t="s">
        <v>1468</v>
      </c>
      <c r="B13" s="32" t="s">
        <v>1469</v>
      </c>
      <c r="C13" s="26" t="s">
        <v>1469</v>
      </c>
      <c r="D13" s="26" t="s">
        <v>28</v>
      </c>
      <c r="E13" s="26" t="s">
        <v>1465</v>
      </c>
      <c r="F13" s="26" t="s">
        <v>1249</v>
      </c>
      <c r="G13" s="26" t="s">
        <v>162</v>
      </c>
      <c r="J13" s="26" t="s">
        <v>146</v>
      </c>
      <c r="L13" s="26" t="s">
        <v>164</v>
      </c>
      <c r="N13" s="28">
        <v>45292</v>
      </c>
      <c r="O13" s="45">
        <v>45657</v>
      </c>
      <c r="P13" s="26">
        <v>52</v>
      </c>
      <c r="Q13" s="35" t="s">
        <v>49</v>
      </c>
      <c r="R13" s="29">
        <v>100000000</v>
      </c>
      <c r="S13" s="26"/>
      <c r="T13" s="29">
        <v>0</v>
      </c>
      <c r="U13" s="36">
        <v>0</v>
      </c>
      <c r="X13" s="26" t="s">
        <v>172</v>
      </c>
    </row>
    <row r="14" spans="1:26" x14ac:dyDescent="0.35">
      <c r="A14" s="26" t="s">
        <v>1470</v>
      </c>
      <c r="B14" s="32" t="s">
        <v>1471</v>
      </c>
      <c r="C14" s="26" t="s">
        <v>1471</v>
      </c>
      <c r="D14" s="26" t="s">
        <v>28</v>
      </c>
      <c r="E14" s="26" t="s">
        <v>1465</v>
      </c>
      <c r="F14" s="26" t="s">
        <v>1249</v>
      </c>
      <c r="G14" s="26" t="s">
        <v>162</v>
      </c>
      <c r="J14" s="26" t="s">
        <v>146</v>
      </c>
      <c r="L14" s="26" t="s">
        <v>164</v>
      </c>
      <c r="N14" s="28">
        <v>45292</v>
      </c>
      <c r="O14" s="45">
        <v>45657</v>
      </c>
      <c r="P14" s="26">
        <v>52</v>
      </c>
      <c r="Q14" s="35" t="s">
        <v>49</v>
      </c>
      <c r="R14" s="29">
        <v>250000000</v>
      </c>
      <c r="S14" s="26"/>
      <c r="T14" s="29">
        <v>0</v>
      </c>
      <c r="U14" s="36">
        <v>0</v>
      </c>
      <c r="X14" s="26" t="s">
        <v>172</v>
      </c>
    </row>
    <row r="15" spans="1:26" x14ac:dyDescent="0.35">
      <c r="A15" s="26" t="s">
        <v>1328</v>
      </c>
      <c r="B15" s="32" t="s">
        <v>1329</v>
      </c>
      <c r="C15" s="26" t="s">
        <v>1329</v>
      </c>
      <c r="D15" s="26" t="s">
        <v>28</v>
      </c>
      <c r="E15" s="26" t="s">
        <v>1330</v>
      </c>
      <c r="F15" s="26" t="s">
        <v>1283</v>
      </c>
      <c r="G15" s="26" t="s">
        <v>684</v>
      </c>
      <c r="J15" s="26" t="s">
        <v>31</v>
      </c>
      <c r="L15" s="26" t="s">
        <v>32</v>
      </c>
      <c r="N15" s="28">
        <v>45292</v>
      </c>
      <c r="O15" s="45">
        <v>45657</v>
      </c>
      <c r="P15" s="26">
        <v>52</v>
      </c>
      <c r="Q15" s="35" t="s">
        <v>49</v>
      </c>
      <c r="R15" s="29">
        <v>20000000</v>
      </c>
      <c r="S15" s="26"/>
      <c r="T15" s="29">
        <v>0</v>
      </c>
      <c r="U15" s="36">
        <v>0</v>
      </c>
      <c r="X15" s="26" t="s">
        <v>355</v>
      </c>
    </row>
    <row r="16" spans="1:26" x14ac:dyDescent="0.35">
      <c r="A16" s="26" t="s">
        <v>1280</v>
      </c>
      <c r="B16" s="32" t="s">
        <v>1281</v>
      </c>
      <c r="C16" s="26" t="s">
        <v>1281</v>
      </c>
      <c r="D16" s="26" t="s">
        <v>28</v>
      </c>
      <c r="E16" s="26" t="s">
        <v>1282</v>
      </c>
      <c r="F16" s="26" t="s">
        <v>1283</v>
      </c>
      <c r="G16" s="26" t="s">
        <v>1284</v>
      </c>
      <c r="J16" s="26" t="s">
        <v>146</v>
      </c>
      <c r="L16" s="26" t="s">
        <v>164</v>
      </c>
      <c r="N16" s="28">
        <v>45292</v>
      </c>
      <c r="O16" s="45">
        <v>45657</v>
      </c>
      <c r="P16" s="26">
        <v>52</v>
      </c>
      <c r="Q16" s="35" t="s">
        <v>49</v>
      </c>
      <c r="R16" s="29">
        <v>33000000</v>
      </c>
      <c r="S16" s="26"/>
      <c r="T16" s="29">
        <v>0</v>
      </c>
      <c r="U16" s="36">
        <v>0</v>
      </c>
      <c r="X16" s="26" t="s">
        <v>67</v>
      </c>
    </row>
    <row r="17" spans="1:24" x14ac:dyDescent="0.35">
      <c r="A17" s="26" t="s">
        <v>1285</v>
      </c>
      <c r="B17" s="32" t="s">
        <v>1286</v>
      </c>
      <c r="C17" s="26" t="s">
        <v>1286</v>
      </c>
      <c r="D17" s="26" t="s">
        <v>28</v>
      </c>
      <c r="E17" s="26" t="s">
        <v>1282</v>
      </c>
      <c r="F17" s="26" t="s">
        <v>1283</v>
      </c>
      <c r="G17" s="26" t="s">
        <v>1284</v>
      </c>
      <c r="J17" s="26" t="s">
        <v>146</v>
      </c>
      <c r="L17" s="26" t="s">
        <v>146</v>
      </c>
      <c r="N17" s="28">
        <v>45292</v>
      </c>
      <c r="O17" s="45">
        <v>45657</v>
      </c>
      <c r="P17" s="26">
        <v>52</v>
      </c>
      <c r="Q17" s="35" t="s">
        <v>49</v>
      </c>
      <c r="R17" s="29">
        <v>16940000</v>
      </c>
      <c r="S17" s="26"/>
      <c r="T17" s="29">
        <v>0</v>
      </c>
      <c r="U17" s="36">
        <v>0</v>
      </c>
      <c r="X17" s="26" t="s">
        <v>67</v>
      </c>
    </row>
    <row r="18" spans="1:24" x14ac:dyDescent="0.35">
      <c r="A18" s="26" t="s">
        <v>1287</v>
      </c>
      <c r="B18" s="32" t="s">
        <v>1288</v>
      </c>
      <c r="C18" s="26" t="s">
        <v>1288</v>
      </c>
      <c r="D18" s="26" t="s">
        <v>28</v>
      </c>
      <c r="E18" s="26" t="s">
        <v>1282</v>
      </c>
      <c r="F18" s="26" t="s">
        <v>1283</v>
      </c>
      <c r="G18" s="26" t="s">
        <v>1284</v>
      </c>
      <c r="J18" s="26" t="s">
        <v>31</v>
      </c>
      <c r="L18" s="26" t="s">
        <v>66</v>
      </c>
      <c r="N18" s="28">
        <v>45292</v>
      </c>
      <c r="O18" s="45">
        <v>45657</v>
      </c>
      <c r="P18" s="26">
        <v>52</v>
      </c>
      <c r="Q18" s="35" t="s">
        <v>49</v>
      </c>
      <c r="R18" s="29">
        <v>21175000</v>
      </c>
      <c r="S18" s="26"/>
      <c r="T18" s="29">
        <v>0</v>
      </c>
      <c r="U18" s="36">
        <v>0</v>
      </c>
      <c r="X18" s="26" t="s">
        <v>67</v>
      </c>
    </row>
    <row r="19" spans="1:24" x14ac:dyDescent="0.35">
      <c r="A19" s="26" t="s">
        <v>1289</v>
      </c>
      <c r="B19" s="32" t="s">
        <v>1290</v>
      </c>
      <c r="C19" s="26" t="s">
        <v>1290</v>
      </c>
      <c r="D19" s="26" t="s">
        <v>28</v>
      </c>
      <c r="E19" s="26" t="s">
        <v>1282</v>
      </c>
      <c r="F19" s="26" t="s">
        <v>1283</v>
      </c>
      <c r="G19" s="26" t="s">
        <v>1284</v>
      </c>
      <c r="J19" s="26" t="s">
        <v>146</v>
      </c>
      <c r="L19" s="26" t="s">
        <v>40</v>
      </c>
      <c r="N19" s="28">
        <v>45292</v>
      </c>
      <c r="O19" s="45">
        <v>45657</v>
      </c>
      <c r="P19" s="26">
        <v>52</v>
      </c>
      <c r="Q19" s="35" t="s">
        <v>49</v>
      </c>
      <c r="R19" s="29">
        <v>12000000</v>
      </c>
      <c r="S19" s="26"/>
      <c r="T19" s="29">
        <v>0</v>
      </c>
      <c r="U19" s="36">
        <v>0</v>
      </c>
      <c r="X19" s="26" t="s">
        <v>63</v>
      </c>
    </row>
    <row r="20" spans="1:24" x14ac:dyDescent="0.35">
      <c r="A20" s="26" t="s">
        <v>1291</v>
      </c>
      <c r="B20" s="32" t="s">
        <v>1292</v>
      </c>
      <c r="C20" s="26" t="s">
        <v>1292</v>
      </c>
      <c r="D20" s="26" t="s">
        <v>28</v>
      </c>
      <c r="E20" s="26" t="s">
        <v>1282</v>
      </c>
      <c r="F20" s="26" t="s">
        <v>1283</v>
      </c>
      <c r="G20" s="26" t="s">
        <v>1284</v>
      </c>
      <c r="J20" s="26" t="s">
        <v>146</v>
      </c>
      <c r="L20" s="26" t="s">
        <v>40</v>
      </c>
      <c r="N20" s="28">
        <v>45292</v>
      </c>
      <c r="O20" s="45">
        <v>45657</v>
      </c>
      <c r="P20" s="26">
        <v>52</v>
      </c>
      <c r="Q20" s="35" t="s">
        <v>49</v>
      </c>
      <c r="R20" s="29">
        <v>826000</v>
      </c>
      <c r="S20" s="26"/>
      <c r="T20" s="29">
        <v>0</v>
      </c>
      <c r="U20" s="36">
        <v>0</v>
      </c>
      <c r="X20" s="26" t="s">
        <v>63</v>
      </c>
    </row>
    <row r="21" spans="1:24" x14ac:dyDescent="0.35">
      <c r="A21" s="26" t="s">
        <v>1293</v>
      </c>
      <c r="B21" s="32" t="s">
        <v>1294</v>
      </c>
      <c r="C21" s="26" t="s">
        <v>1294</v>
      </c>
      <c r="D21" s="26" t="s">
        <v>28</v>
      </c>
      <c r="E21" s="26" t="s">
        <v>1282</v>
      </c>
      <c r="F21" s="26" t="s">
        <v>1283</v>
      </c>
      <c r="G21" s="26" t="s">
        <v>1284</v>
      </c>
      <c r="J21" s="26" t="s">
        <v>146</v>
      </c>
      <c r="L21" s="26" t="s">
        <v>40</v>
      </c>
      <c r="N21" s="28">
        <v>45292</v>
      </c>
      <c r="O21" s="45">
        <v>45657</v>
      </c>
      <c r="P21" s="26">
        <v>52</v>
      </c>
      <c r="Q21" s="35" t="s">
        <v>49</v>
      </c>
      <c r="R21" s="29">
        <v>3066300</v>
      </c>
      <c r="S21" s="26"/>
      <c r="T21" s="29">
        <v>0</v>
      </c>
      <c r="U21" s="36">
        <v>0</v>
      </c>
      <c r="X21" s="26" t="s">
        <v>67</v>
      </c>
    </row>
    <row r="22" spans="1:24" x14ac:dyDescent="0.35">
      <c r="A22" s="26" t="s">
        <v>1295</v>
      </c>
      <c r="B22" s="32" t="s">
        <v>1296</v>
      </c>
      <c r="C22" s="26" t="s">
        <v>1296</v>
      </c>
      <c r="D22" s="26" t="s">
        <v>303</v>
      </c>
      <c r="E22" s="26" t="s">
        <v>1297</v>
      </c>
      <c r="F22" s="26" t="s">
        <v>1283</v>
      </c>
      <c r="G22" s="26" t="s">
        <v>162</v>
      </c>
      <c r="J22" s="26" t="s">
        <v>146</v>
      </c>
      <c r="L22" s="26" t="s">
        <v>164</v>
      </c>
      <c r="N22" s="28">
        <v>45292</v>
      </c>
      <c r="O22" s="45">
        <v>45657</v>
      </c>
      <c r="P22" s="26">
        <v>52</v>
      </c>
      <c r="Q22" s="35" t="s">
        <v>49</v>
      </c>
      <c r="R22" s="29">
        <v>800000000</v>
      </c>
      <c r="S22" s="26"/>
      <c r="T22" s="29">
        <v>0</v>
      </c>
      <c r="U22" s="36">
        <v>0</v>
      </c>
      <c r="X22" s="26" t="s">
        <v>67</v>
      </c>
    </row>
    <row r="23" spans="1:24" x14ac:dyDescent="0.35">
      <c r="A23" s="26" t="s">
        <v>1298</v>
      </c>
      <c r="B23" s="32" t="s">
        <v>1299</v>
      </c>
      <c r="C23" s="26" t="s">
        <v>1299</v>
      </c>
      <c r="D23" s="26" t="s">
        <v>303</v>
      </c>
      <c r="E23" s="26" t="s">
        <v>1297</v>
      </c>
      <c r="F23" s="26" t="s">
        <v>1283</v>
      </c>
      <c r="G23" s="26" t="s">
        <v>162</v>
      </c>
      <c r="J23" s="26" t="s">
        <v>146</v>
      </c>
      <c r="L23" s="26" t="s">
        <v>164</v>
      </c>
      <c r="N23" s="28">
        <v>45292</v>
      </c>
      <c r="O23" s="45">
        <v>45657</v>
      </c>
      <c r="P23" s="26">
        <v>52</v>
      </c>
      <c r="Q23" s="35" t="s">
        <v>49</v>
      </c>
      <c r="R23" s="29">
        <v>700000000</v>
      </c>
      <c r="S23" s="26"/>
      <c r="T23" s="29">
        <v>0</v>
      </c>
      <c r="U23" s="36">
        <v>0</v>
      </c>
      <c r="X23" s="26" t="s">
        <v>165</v>
      </c>
    </row>
    <row r="24" spans="1:24" x14ac:dyDescent="0.35">
      <c r="A24" s="26" t="s">
        <v>1300</v>
      </c>
      <c r="B24" s="32" t="s">
        <v>1301</v>
      </c>
      <c r="C24" s="26" t="s">
        <v>1301</v>
      </c>
      <c r="D24" s="26" t="s">
        <v>303</v>
      </c>
      <c r="E24" s="26" t="s">
        <v>1297</v>
      </c>
      <c r="F24" s="26" t="s">
        <v>1283</v>
      </c>
      <c r="G24" s="26" t="s">
        <v>162</v>
      </c>
      <c r="J24" s="26" t="s">
        <v>146</v>
      </c>
      <c r="L24" s="26" t="s">
        <v>164</v>
      </c>
      <c r="N24" s="28">
        <v>45292</v>
      </c>
      <c r="O24" s="45">
        <v>45657</v>
      </c>
      <c r="P24" s="26">
        <v>52</v>
      </c>
      <c r="Q24" s="35" t="s">
        <v>49</v>
      </c>
      <c r="R24" s="29">
        <v>550000000</v>
      </c>
      <c r="S24" s="26"/>
      <c r="T24" s="29">
        <v>0</v>
      </c>
      <c r="U24" s="36">
        <v>0</v>
      </c>
      <c r="X24" s="26" t="s">
        <v>165</v>
      </c>
    </row>
    <row r="25" spans="1:24" x14ac:dyDescent="0.35">
      <c r="A25" s="26" t="s">
        <v>1302</v>
      </c>
      <c r="B25" s="32" t="s">
        <v>1303</v>
      </c>
      <c r="C25" s="26" t="s">
        <v>1303</v>
      </c>
      <c r="D25" s="26" t="s">
        <v>303</v>
      </c>
      <c r="E25" s="26" t="s">
        <v>1297</v>
      </c>
      <c r="F25" s="26" t="s">
        <v>1283</v>
      </c>
      <c r="G25" s="26" t="s">
        <v>162</v>
      </c>
      <c r="J25" s="26" t="s">
        <v>146</v>
      </c>
      <c r="L25" s="26" t="s">
        <v>164</v>
      </c>
      <c r="N25" s="28">
        <v>45292</v>
      </c>
      <c r="O25" s="45">
        <v>45657</v>
      </c>
      <c r="P25" s="26">
        <v>52</v>
      </c>
      <c r="Q25" s="35" t="s">
        <v>49</v>
      </c>
      <c r="R25" s="29">
        <v>200000000</v>
      </c>
      <c r="S25" s="26"/>
      <c r="T25" s="50">
        <v>0</v>
      </c>
      <c r="U25" s="36">
        <v>0</v>
      </c>
      <c r="X25" s="26" t="s">
        <v>186</v>
      </c>
    </row>
    <row r="26" spans="1:24" x14ac:dyDescent="0.35">
      <c r="A26" s="26" t="s">
        <v>1304</v>
      </c>
      <c r="B26" s="32" t="s">
        <v>1305</v>
      </c>
      <c r="C26" s="26" t="s">
        <v>1305</v>
      </c>
      <c r="D26" s="26" t="s">
        <v>303</v>
      </c>
      <c r="E26" s="26" t="s">
        <v>1297</v>
      </c>
      <c r="F26" s="26" t="s">
        <v>1283</v>
      </c>
      <c r="G26" s="26" t="s">
        <v>162</v>
      </c>
      <c r="J26" s="26" t="s">
        <v>146</v>
      </c>
      <c r="L26" s="26" t="s">
        <v>164</v>
      </c>
      <c r="N26" s="28">
        <v>45292</v>
      </c>
      <c r="O26" s="45">
        <v>45657</v>
      </c>
      <c r="P26" s="26">
        <v>52</v>
      </c>
      <c r="Q26" s="35" t="s">
        <v>49</v>
      </c>
      <c r="R26" s="29">
        <v>300000000</v>
      </c>
      <c r="S26" s="26"/>
      <c r="T26" s="29">
        <v>0</v>
      </c>
      <c r="U26" s="36">
        <v>0</v>
      </c>
      <c r="X26" s="26" t="s">
        <v>1306</v>
      </c>
    </row>
    <row r="27" spans="1:24" x14ac:dyDescent="0.35">
      <c r="A27" s="26" t="s">
        <v>1307</v>
      </c>
      <c r="B27" s="32" t="s">
        <v>1308</v>
      </c>
      <c r="C27" s="26" t="s">
        <v>1308</v>
      </c>
      <c r="D27" s="26" t="s">
        <v>303</v>
      </c>
      <c r="E27" s="26" t="s">
        <v>1297</v>
      </c>
      <c r="F27" s="26" t="s">
        <v>1283</v>
      </c>
      <c r="G27" s="26" t="s">
        <v>162</v>
      </c>
      <c r="J27" s="26" t="s">
        <v>146</v>
      </c>
      <c r="L27" s="26" t="s">
        <v>40</v>
      </c>
      <c r="N27" s="28">
        <v>45292</v>
      </c>
      <c r="O27" s="45">
        <v>45657</v>
      </c>
      <c r="P27" s="26">
        <v>52</v>
      </c>
      <c r="Q27" s="35" t="s">
        <v>49</v>
      </c>
      <c r="R27" s="29">
        <v>450000000</v>
      </c>
      <c r="S27" s="26"/>
      <c r="T27" s="29">
        <v>0</v>
      </c>
      <c r="U27" s="36">
        <v>0</v>
      </c>
      <c r="X27" s="26" t="s">
        <v>165</v>
      </c>
    </row>
    <row r="28" spans="1:24" x14ac:dyDescent="0.35">
      <c r="A28" s="26" t="s">
        <v>1309</v>
      </c>
      <c r="B28" s="32" t="s">
        <v>1310</v>
      </c>
      <c r="C28" s="26" t="s">
        <v>1310</v>
      </c>
      <c r="D28" s="26" t="s">
        <v>303</v>
      </c>
      <c r="E28" s="26" t="s">
        <v>1297</v>
      </c>
      <c r="F28" s="26" t="s">
        <v>1283</v>
      </c>
      <c r="G28" s="26" t="s">
        <v>162</v>
      </c>
      <c r="J28" s="26" t="s">
        <v>146</v>
      </c>
      <c r="L28" s="26" t="s">
        <v>164</v>
      </c>
      <c r="N28" s="28">
        <v>45292</v>
      </c>
      <c r="O28" s="45">
        <v>45657</v>
      </c>
      <c r="P28" s="26">
        <v>52</v>
      </c>
      <c r="Q28" s="35" t="s">
        <v>49</v>
      </c>
      <c r="R28" s="29">
        <v>450000000</v>
      </c>
      <c r="S28" s="26"/>
      <c r="T28" s="29">
        <v>0</v>
      </c>
      <c r="U28" s="36">
        <v>0</v>
      </c>
      <c r="X28" s="26" t="s">
        <v>165</v>
      </c>
    </row>
    <row r="29" spans="1:24" x14ac:dyDescent="0.35">
      <c r="A29" s="26" t="s">
        <v>1311</v>
      </c>
      <c r="B29" s="32" t="s">
        <v>1312</v>
      </c>
      <c r="C29" s="26" t="s">
        <v>1312</v>
      </c>
      <c r="D29" s="26" t="s">
        <v>303</v>
      </c>
      <c r="E29" s="26" t="s">
        <v>1297</v>
      </c>
      <c r="F29" s="26" t="s">
        <v>1283</v>
      </c>
      <c r="G29" s="26" t="s">
        <v>162</v>
      </c>
      <c r="J29" s="26" t="s">
        <v>146</v>
      </c>
      <c r="L29" s="26" t="s">
        <v>146</v>
      </c>
      <c r="N29" s="28">
        <v>45292</v>
      </c>
      <c r="O29" s="45">
        <v>45657</v>
      </c>
      <c r="P29" s="26">
        <v>52</v>
      </c>
      <c r="Q29" s="35" t="s">
        <v>49</v>
      </c>
      <c r="R29" s="29">
        <v>683741653</v>
      </c>
      <c r="S29" s="26"/>
      <c r="T29" s="29">
        <v>0</v>
      </c>
      <c r="U29" s="36">
        <v>0</v>
      </c>
      <c r="X29" s="26" t="s">
        <v>165</v>
      </c>
    </row>
    <row r="30" spans="1:24" x14ac:dyDescent="0.35">
      <c r="A30" s="26" t="s">
        <v>1313</v>
      </c>
      <c r="B30" s="32" t="s">
        <v>1314</v>
      </c>
      <c r="C30" s="26" t="s">
        <v>1314</v>
      </c>
      <c r="D30" s="26" t="s">
        <v>303</v>
      </c>
      <c r="E30" s="26" t="s">
        <v>1297</v>
      </c>
      <c r="F30" s="26" t="s">
        <v>1283</v>
      </c>
      <c r="G30" s="26" t="s">
        <v>162</v>
      </c>
      <c r="J30" s="26" t="s">
        <v>146</v>
      </c>
      <c r="L30" s="26" t="s">
        <v>164</v>
      </c>
      <c r="N30" s="28">
        <v>45292</v>
      </c>
      <c r="O30" s="45">
        <v>45657</v>
      </c>
      <c r="P30" s="26">
        <v>52</v>
      </c>
      <c r="Q30" s="35" t="s">
        <v>49</v>
      </c>
      <c r="R30" s="29">
        <v>830372232</v>
      </c>
      <c r="S30" s="26"/>
      <c r="T30" s="29">
        <v>0</v>
      </c>
      <c r="U30" s="36">
        <v>0</v>
      </c>
      <c r="X30" s="26" t="s">
        <v>165</v>
      </c>
    </row>
    <row r="31" spans="1:24" x14ac:dyDescent="0.35">
      <c r="A31" s="26" t="s">
        <v>1315</v>
      </c>
      <c r="B31" s="32" t="s">
        <v>1316</v>
      </c>
      <c r="C31" s="26" t="s">
        <v>1316</v>
      </c>
      <c r="D31" s="26" t="s">
        <v>95</v>
      </c>
      <c r="E31" s="26" t="s">
        <v>1317</v>
      </c>
      <c r="F31" s="26" t="s">
        <v>1283</v>
      </c>
      <c r="G31" s="26" t="s">
        <v>315</v>
      </c>
      <c r="J31" s="26" t="s">
        <v>146</v>
      </c>
      <c r="L31" s="26" t="s">
        <v>164</v>
      </c>
      <c r="N31" s="28">
        <v>45292</v>
      </c>
      <c r="O31" s="45">
        <v>45657</v>
      </c>
      <c r="P31" s="26">
        <v>52</v>
      </c>
      <c r="Q31" s="35" t="s">
        <v>49</v>
      </c>
      <c r="R31" s="29">
        <v>130000000</v>
      </c>
      <c r="S31" s="26"/>
      <c r="T31" s="29">
        <v>0</v>
      </c>
      <c r="U31" s="36">
        <v>0</v>
      </c>
      <c r="X31" s="26" t="s">
        <v>126</v>
      </c>
    </row>
    <row r="32" spans="1:24" x14ac:dyDescent="0.35">
      <c r="A32" s="26" t="s">
        <v>1318</v>
      </c>
      <c r="B32" s="32" t="s">
        <v>1319</v>
      </c>
      <c r="C32" s="26" t="s">
        <v>1319</v>
      </c>
      <c r="D32" s="26" t="s">
        <v>95</v>
      </c>
      <c r="E32" s="26" t="s">
        <v>1317</v>
      </c>
      <c r="F32" s="26" t="s">
        <v>1283</v>
      </c>
      <c r="G32" s="26" t="s">
        <v>315</v>
      </c>
      <c r="J32" s="26" t="s">
        <v>146</v>
      </c>
      <c r="L32" s="26" t="s">
        <v>164</v>
      </c>
      <c r="N32" s="28">
        <v>45292</v>
      </c>
      <c r="O32" s="45">
        <v>45657</v>
      </c>
      <c r="P32" s="26">
        <v>52</v>
      </c>
      <c r="Q32" s="35" t="s">
        <v>49</v>
      </c>
      <c r="R32" s="29">
        <v>111000000</v>
      </c>
      <c r="S32" s="26"/>
      <c r="T32" s="29">
        <v>0</v>
      </c>
      <c r="U32" s="36">
        <v>0</v>
      </c>
      <c r="X32" s="26" t="s">
        <v>126</v>
      </c>
    </row>
    <row r="33" spans="1:24" x14ac:dyDescent="0.35">
      <c r="A33" s="26" t="s">
        <v>1320</v>
      </c>
      <c r="B33" s="32" t="s">
        <v>1321</v>
      </c>
      <c r="C33" s="26" t="s">
        <v>1321</v>
      </c>
      <c r="D33" s="26" t="s">
        <v>95</v>
      </c>
      <c r="E33" s="26" t="s">
        <v>1317</v>
      </c>
      <c r="F33" s="26" t="s">
        <v>1283</v>
      </c>
      <c r="G33" s="26" t="s">
        <v>315</v>
      </c>
      <c r="J33" s="26" t="s">
        <v>146</v>
      </c>
      <c r="L33" s="26" t="s">
        <v>164</v>
      </c>
      <c r="N33" s="28">
        <v>45292</v>
      </c>
      <c r="O33" s="45">
        <v>45657</v>
      </c>
      <c r="P33" s="26">
        <v>52</v>
      </c>
      <c r="Q33" s="35" t="s">
        <v>49</v>
      </c>
      <c r="R33" s="29">
        <v>374750246</v>
      </c>
      <c r="S33" s="26"/>
      <c r="T33" s="29">
        <v>0</v>
      </c>
      <c r="U33" s="36">
        <v>0</v>
      </c>
      <c r="X33" s="26" t="s">
        <v>126</v>
      </c>
    </row>
    <row r="34" spans="1:24" x14ac:dyDescent="0.35">
      <c r="A34" s="26" t="s">
        <v>1322</v>
      </c>
      <c r="B34" s="32" t="s">
        <v>1323</v>
      </c>
      <c r="C34" s="26" t="s">
        <v>1323</v>
      </c>
      <c r="D34" s="26" t="s">
        <v>95</v>
      </c>
      <c r="E34" s="26" t="s">
        <v>1317</v>
      </c>
      <c r="F34" s="26" t="s">
        <v>1283</v>
      </c>
      <c r="G34" s="26" t="s">
        <v>315</v>
      </c>
      <c r="J34" s="26" t="s">
        <v>146</v>
      </c>
      <c r="L34" s="26" t="s">
        <v>40</v>
      </c>
      <c r="N34" s="28">
        <v>45292</v>
      </c>
      <c r="O34" s="45">
        <v>45657</v>
      </c>
      <c r="P34" s="26">
        <v>52</v>
      </c>
      <c r="Q34" s="35" t="s">
        <v>49</v>
      </c>
      <c r="R34" s="29">
        <v>209000000</v>
      </c>
      <c r="S34" s="26"/>
      <c r="T34" s="29">
        <v>0</v>
      </c>
      <c r="U34" s="36">
        <v>0</v>
      </c>
      <c r="X34" s="26" t="s">
        <v>126</v>
      </c>
    </row>
    <row r="35" spans="1:24" x14ac:dyDescent="0.35">
      <c r="A35" s="26" t="s">
        <v>1324</v>
      </c>
      <c r="B35" s="32" t="s">
        <v>1325</v>
      </c>
      <c r="C35" s="26" t="s">
        <v>1325</v>
      </c>
      <c r="D35" s="26" t="s">
        <v>117</v>
      </c>
      <c r="E35" s="26" t="s">
        <v>1326</v>
      </c>
      <c r="F35" s="26" t="s">
        <v>1249</v>
      </c>
      <c r="G35" s="26" t="s">
        <v>1327</v>
      </c>
      <c r="J35" s="26" t="s">
        <v>31</v>
      </c>
      <c r="L35" s="26" t="s">
        <v>1251</v>
      </c>
      <c r="N35" s="28">
        <v>45292</v>
      </c>
      <c r="O35" s="45">
        <v>45657</v>
      </c>
      <c r="P35" s="26">
        <v>52</v>
      </c>
      <c r="Q35" s="35" t="s">
        <v>49</v>
      </c>
      <c r="R35" s="29">
        <v>300000000</v>
      </c>
      <c r="S35" s="26"/>
      <c r="T35" s="29">
        <v>0</v>
      </c>
      <c r="U35" s="36">
        <v>0</v>
      </c>
      <c r="X35" s="26" t="s">
        <v>126</v>
      </c>
    </row>
    <row r="36" spans="1:24" x14ac:dyDescent="0.35">
      <c r="A36" s="26" t="s">
        <v>1331</v>
      </c>
      <c r="B36" s="32" t="s">
        <v>1332</v>
      </c>
      <c r="C36" s="26" t="s">
        <v>1332</v>
      </c>
      <c r="D36" s="26" t="s">
        <v>28</v>
      </c>
      <c r="E36" s="26" t="s">
        <v>1333</v>
      </c>
      <c r="F36" s="26" t="s">
        <v>1283</v>
      </c>
      <c r="G36" s="26" t="s">
        <v>1284</v>
      </c>
      <c r="J36" s="26" t="s">
        <v>31</v>
      </c>
      <c r="L36" s="26" t="s">
        <v>32</v>
      </c>
      <c r="N36" s="28">
        <v>45292</v>
      </c>
      <c r="O36" s="45">
        <v>45657</v>
      </c>
      <c r="P36" s="26">
        <v>52</v>
      </c>
      <c r="Q36" s="35" t="s">
        <v>49</v>
      </c>
      <c r="R36" s="29">
        <v>1588573000</v>
      </c>
      <c r="S36" s="26"/>
      <c r="T36" s="29">
        <v>0</v>
      </c>
      <c r="U36" s="36">
        <v>0</v>
      </c>
      <c r="X36" s="26" t="s">
        <v>50</v>
      </c>
    </row>
    <row r="37" spans="1:24" x14ac:dyDescent="0.35">
      <c r="A37" s="26" t="s">
        <v>1334</v>
      </c>
      <c r="B37" s="32" t="s">
        <v>1335</v>
      </c>
      <c r="C37" s="26" t="s">
        <v>1335</v>
      </c>
      <c r="D37" s="26" t="s">
        <v>95</v>
      </c>
      <c r="E37" s="26" t="s">
        <v>1336</v>
      </c>
      <c r="F37" s="26" t="s">
        <v>1283</v>
      </c>
      <c r="G37" s="26" t="s">
        <v>684</v>
      </c>
      <c r="J37" s="26" t="s">
        <v>194</v>
      </c>
      <c r="L37" s="26" t="s">
        <v>199</v>
      </c>
      <c r="N37" s="28">
        <v>45292</v>
      </c>
      <c r="O37" s="45">
        <v>45657</v>
      </c>
      <c r="P37" s="26">
        <v>52</v>
      </c>
      <c r="Q37" s="35" t="s">
        <v>49</v>
      </c>
      <c r="R37" s="29">
        <v>300000000</v>
      </c>
      <c r="S37" s="26"/>
      <c r="T37" s="29">
        <v>0</v>
      </c>
      <c r="U37" s="36">
        <v>0</v>
      </c>
      <c r="X37" s="26" t="s">
        <v>126</v>
      </c>
    </row>
    <row r="38" spans="1:24" x14ac:dyDescent="0.35">
      <c r="A38" s="26" t="s">
        <v>1337</v>
      </c>
      <c r="B38" s="32" t="s">
        <v>1338</v>
      </c>
      <c r="C38" s="26" t="s">
        <v>1338</v>
      </c>
      <c r="D38" s="26" t="s">
        <v>117</v>
      </c>
      <c r="E38" s="26" t="s">
        <v>1336</v>
      </c>
      <c r="F38" s="26" t="s">
        <v>1283</v>
      </c>
      <c r="G38" s="26" t="s">
        <v>684</v>
      </c>
      <c r="J38" s="26" t="s">
        <v>194</v>
      </c>
      <c r="L38" s="26" t="s">
        <v>199</v>
      </c>
      <c r="N38" s="28">
        <v>45292</v>
      </c>
      <c r="O38" s="45">
        <v>45657</v>
      </c>
      <c r="P38" s="26">
        <v>52</v>
      </c>
      <c r="Q38" s="35" t="s">
        <v>49</v>
      </c>
      <c r="R38" s="29">
        <v>500000000</v>
      </c>
      <c r="S38" s="26"/>
      <c r="T38" s="29">
        <v>0</v>
      </c>
      <c r="U38" s="36">
        <v>0</v>
      </c>
      <c r="X38" s="26" t="s">
        <v>126</v>
      </c>
    </row>
    <row r="39" spans="1:24" x14ac:dyDescent="0.35">
      <c r="A39" s="26" t="s">
        <v>1339</v>
      </c>
      <c r="B39" s="32" t="s">
        <v>1340</v>
      </c>
      <c r="C39" s="26" t="s">
        <v>1340</v>
      </c>
      <c r="D39" s="26" t="s">
        <v>109</v>
      </c>
      <c r="E39" s="26" t="s">
        <v>1336</v>
      </c>
      <c r="F39" s="26" t="s">
        <v>1283</v>
      </c>
      <c r="G39" s="26" t="s">
        <v>684</v>
      </c>
      <c r="J39" s="26" t="s">
        <v>194</v>
      </c>
      <c r="L39" s="26" t="s">
        <v>199</v>
      </c>
      <c r="N39" s="28">
        <v>45292</v>
      </c>
      <c r="O39" s="45">
        <v>45657</v>
      </c>
      <c r="P39" s="26">
        <v>52</v>
      </c>
      <c r="Q39" s="35" t="s">
        <v>49</v>
      </c>
      <c r="R39" s="29">
        <v>100000000</v>
      </c>
      <c r="S39" s="26"/>
      <c r="T39" s="29">
        <v>0</v>
      </c>
      <c r="U39" s="36">
        <v>0</v>
      </c>
      <c r="X39" s="26" t="s">
        <v>126</v>
      </c>
    </row>
    <row r="40" spans="1:24" x14ac:dyDescent="0.35">
      <c r="A40" s="26" t="s">
        <v>1341</v>
      </c>
      <c r="B40" s="32" t="s">
        <v>1342</v>
      </c>
      <c r="C40" s="26" t="s">
        <v>1342</v>
      </c>
      <c r="D40" s="26" t="s">
        <v>117</v>
      </c>
      <c r="E40" s="26" t="s">
        <v>1336</v>
      </c>
      <c r="F40" s="26" t="s">
        <v>1283</v>
      </c>
      <c r="G40" s="26" t="s">
        <v>684</v>
      </c>
      <c r="J40" s="26" t="s">
        <v>194</v>
      </c>
      <c r="L40" s="26" t="s">
        <v>199</v>
      </c>
      <c r="N40" s="28">
        <v>45292</v>
      </c>
      <c r="O40" s="45">
        <v>45657</v>
      </c>
      <c r="P40" s="26">
        <v>52</v>
      </c>
      <c r="Q40" s="35" t="s">
        <v>49</v>
      </c>
      <c r="R40" s="29">
        <v>200000000</v>
      </c>
      <c r="S40" s="26"/>
      <c r="T40" s="29">
        <v>0</v>
      </c>
      <c r="U40" s="36">
        <v>0</v>
      </c>
      <c r="X40" s="26" t="s">
        <v>126</v>
      </c>
    </row>
    <row r="41" spans="1:24" x14ac:dyDescent="0.35">
      <c r="A41" s="26" t="s">
        <v>1343</v>
      </c>
      <c r="B41" s="32" t="s">
        <v>1344</v>
      </c>
      <c r="C41" s="26" t="s">
        <v>1344</v>
      </c>
      <c r="D41" s="26" t="s">
        <v>28</v>
      </c>
      <c r="E41" s="26" t="s">
        <v>1336</v>
      </c>
      <c r="F41" s="26" t="s">
        <v>1283</v>
      </c>
      <c r="G41" s="26" t="s">
        <v>684</v>
      </c>
      <c r="J41" s="26" t="s">
        <v>194</v>
      </c>
      <c r="L41" s="26" t="s">
        <v>199</v>
      </c>
      <c r="N41" s="28">
        <v>45292</v>
      </c>
      <c r="O41" s="45">
        <v>45657</v>
      </c>
      <c r="P41" s="26">
        <v>52</v>
      </c>
      <c r="Q41" s="35" t="s">
        <v>49</v>
      </c>
      <c r="R41" s="29">
        <v>300000000</v>
      </c>
      <c r="S41" s="26"/>
      <c r="T41" s="29">
        <v>0</v>
      </c>
      <c r="U41" s="36">
        <v>0</v>
      </c>
      <c r="X41" s="26" t="s">
        <v>126</v>
      </c>
    </row>
    <row r="42" spans="1:24" x14ac:dyDescent="0.35">
      <c r="A42" s="26" t="s">
        <v>1345</v>
      </c>
      <c r="B42" s="32" t="s">
        <v>1346</v>
      </c>
      <c r="C42" s="26" t="s">
        <v>1346</v>
      </c>
      <c r="D42" s="26" t="s">
        <v>833</v>
      </c>
      <c r="E42" s="26" t="s">
        <v>1336</v>
      </c>
      <c r="F42" s="26" t="s">
        <v>1283</v>
      </c>
      <c r="G42" s="26" t="s">
        <v>684</v>
      </c>
      <c r="J42" s="26" t="s">
        <v>194</v>
      </c>
      <c r="L42" s="26" t="s">
        <v>199</v>
      </c>
      <c r="N42" s="28">
        <v>45292</v>
      </c>
      <c r="O42" s="45">
        <v>45657</v>
      </c>
      <c r="P42" s="26">
        <v>52</v>
      </c>
      <c r="Q42" s="35" t="s">
        <v>49</v>
      </c>
      <c r="R42" s="29">
        <v>300000000</v>
      </c>
      <c r="S42" s="26"/>
      <c r="T42" s="29">
        <v>0</v>
      </c>
      <c r="U42" s="36">
        <v>0</v>
      </c>
      <c r="X42" s="26" t="s">
        <v>126</v>
      </c>
    </row>
    <row r="43" spans="1:24" x14ac:dyDescent="0.35">
      <c r="A43" s="26" t="s">
        <v>1347</v>
      </c>
      <c r="B43" s="32" t="s">
        <v>1348</v>
      </c>
      <c r="C43" s="26" t="s">
        <v>1348</v>
      </c>
      <c r="D43" s="26" t="s">
        <v>77</v>
      </c>
      <c r="E43" s="26" t="s">
        <v>1336</v>
      </c>
      <c r="F43" s="26" t="s">
        <v>1283</v>
      </c>
      <c r="G43" s="26" t="s">
        <v>684</v>
      </c>
      <c r="J43" s="26" t="s">
        <v>194</v>
      </c>
      <c r="L43" s="26" t="s">
        <v>199</v>
      </c>
      <c r="N43" s="28">
        <v>45292</v>
      </c>
      <c r="O43" s="45">
        <v>45657</v>
      </c>
      <c r="P43" s="26">
        <v>52</v>
      </c>
      <c r="Q43" s="35" t="s">
        <v>49</v>
      </c>
      <c r="R43" s="29">
        <v>150000000</v>
      </c>
      <c r="S43" s="26"/>
      <c r="T43" s="29">
        <v>0</v>
      </c>
      <c r="U43" s="36">
        <v>0</v>
      </c>
      <c r="X43" s="26" t="s">
        <v>126</v>
      </c>
    </row>
    <row r="44" spans="1:24" x14ac:dyDescent="0.35">
      <c r="A44" s="26" t="s">
        <v>1349</v>
      </c>
      <c r="B44" s="32" t="s">
        <v>1350</v>
      </c>
      <c r="C44" s="26" t="s">
        <v>1350</v>
      </c>
      <c r="D44" s="26" t="s">
        <v>28</v>
      </c>
      <c r="E44" s="26" t="s">
        <v>1336</v>
      </c>
      <c r="F44" s="26" t="s">
        <v>1283</v>
      </c>
      <c r="G44" s="26" t="s">
        <v>684</v>
      </c>
      <c r="J44" s="26" t="s">
        <v>194</v>
      </c>
      <c r="L44" s="26" t="s">
        <v>199</v>
      </c>
      <c r="N44" s="28">
        <v>45292</v>
      </c>
      <c r="O44" s="45">
        <v>45657</v>
      </c>
      <c r="P44" s="26">
        <v>52</v>
      </c>
      <c r="Q44" s="35" t="s">
        <v>49</v>
      </c>
      <c r="R44" s="29">
        <v>148000000</v>
      </c>
      <c r="S44" s="26"/>
      <c r="T44" s="29">
        <v>0</v>
      </c>
      <c r="U44" s="36">
        <v>0</v>
      </c>
      <c r="X44" s="26" t="s">
        <v>126</v>
      </c>
    </row>
    <row r="45" spans="1:24" x14ac:dyDescent="0.35">
      <c r="A45" s="26" t="s">
        <v>1351</v>
      </c>
      <c r="B45" s="32" t="s">
        <v>1352</v>
      </c>
      <c r="C45" s="26" t="s">
        <v>1352</v>
      </c>
      <c r="D45" s="26" t="s">
        <v>28</v>
      </c>
      <c r="E45" s="26" t="s">
        <v>1336</v>
      </c>
      <c r="F45" s="26" t="s">
        <v>1283</v>
      </c>
      <c r="G45" s="26" t="s">
        <v>684</v>
      </c>
      <c r="J45" s="26" t="s">
        <v>194</v>
      </c>
      <c r="L45" s="26" t="s">
        <v>199</v>
      </c>
      <c r="N45" s="28">
        <v>45292</v>
      </c>
      <c r="O45" s="45">
        <v>45657</v>
      </c>
      <c r="P45" s="26">
        <v>52</v>
      </c>
      <c r="Q45" s="35" t="s">
        <v>49</v>
      </c>
      <c r="R45" s="29">
        <v>310000000</v>
      </c>
      <c r="S45" s="26"/>
      <c r="T45" s="29">
        <v>0</v>
      </c>
      <c r="U45" s="36">
        <v>0</v>
      </c>
      <c r="X45" s="26" t="s">
        <v>126</v>
      </c>
    </row>
    <row r="46" spans="1:24" x14ac:dyDescent="0.35">
      <c r="A46" s="26" t="s">
        <v>1353</v>
      </c>
      <c r="B46" s="32" t="s">
        <v>1354</v>
      </c>
      <c r="C46" s="26" t="s">
        <v>1354</v>
      </c>
      <c r="D46" s="26" t="s">
        <v>28</v>
      </c>
      <c r="E46" s="26" t="s">
        <v>1336</v>
      </c>
      <c r="F46" s="26" t="s">
        <v>1283</v>
      </c>
      <c r="G46" s="26" t="s">
        <v>684</v>
      </c>
      <c r="J46" s="26" t="s">
        <v>194</v>
      </c>
      <c r="L46" s="26" t="s">
        <v>199</v>
      </c>
      <c r="N46" s="28">
        <v>45292</v>
      </c>
      <c r="O46" s="45">
        <v>45657</v>
      </c>
      <c r="P46" s="26">
        <v>52</v>
      </c>
      <c r="Q46" s="35" t="s">
        <v>49</v>
      </c>
      <c r="R46" s="29">
        <v>400000000</v>
      </c>
      <c r="S46" s="26"/>
      <c r="T46" s="29">
        <v>0</v>
      </c>
      <c r="U46" s="36">
        <v>0</v>
      </c>
      <c r="X46" s="26" t="s">
        <v>126</v>
      </c>
    </row>
    <row r="47" spans="1:24" ht="15.5" x14ac:dyDescent="0.35">
      <c r="A47" s="26" t="s">
        <v>1506</v>
      </c>
      <c r="B47" s="32" t="s">
        <v>1507</v>
      </c>
      <c r="C47" s="26" t="s">
        <v>1508</v>
      </c>
      <c r="D47" s="26" t="s">
        <v>28</v>
      </c>
      <c r="E47" s="26" t="s">
        <v>1509</v>
      </c>
      <c r="F47" s="26" t="s">
        <v>1502</v>
      </c>
      <c r="G47" s="26" t="s">
        <v>1510</v>
      </c>
      <c r="J47" s="26" t="s">
        <v>574</v>
      </c>
      <c r="L47" s="26" t="s">
        <v>32</v>
      </c>
      <c r="N47" s="28">
        <v>45292</v>
      </c>
      <c r="O47" s="45">
        <v>45657</v>
      </c>
      <c r="P47" s="26">
        <v>52</v>
      </c>
      <c r="Q47" s="35" t="s">
        <v>34</v>
      </c>
      <c r="R47" s="46">
        <v>1591632882.5999999</v>
      </c>
      <c r="S47" s="26"/>
      <c r="T47" s="46">
        <v>1591632882.5999999</v>
      </c>
      <c r="U47" s="36">
        <v>0.5</v>
      </c>
      <c r="X47" s="26" t="s">
        <v>126</v>
      </c>
    </row>
    <row r="48" spans="1:24" x14ac:dyDescent="0.35">
      <c r="A48" s="26" t="s">
        <v>1511</v>
      </c>
      <c r="B48" s="32" t="s">
        <v>1512</v>
      </c>
      <c r="C48" s="26" t="s">
        <v>1512</v>
      </c>
      <c r="D48" s="26" t="s">
        <v>28</v>
      </c>
      <c r="E48" s="26" t="s">
        <v>1509</v>
      </c>
      <c r="F48" s="26" t="s">
        <v>1502</v>
      </c>
      <c r="G48" s="26" t="s">
        <v>1510</v>
      </c>
      <c r="J48" s="26" t="s">
        <v>574</v>
      </c>
      <c r="L48" s="26" t="s">
        <v>40</v>
      </c>
      <c r="N48" s="28">
        <v>45292</v>
      </c>
      <c r="O48" s="45">
        <v>45657</v>
      </c>
      <c r="P48" s="26">
        <v>52</v>
      </c>
      <c r="Q48" s="35" t="s">
        <v>49</v>
      </c>
      <c r="R48" s="29">
        <v>300000000</v>
      </c>
      <c r="S48" s="26"/>
      <c r="T48" s="29">
        <v>0</v>
      </c>
      <c r="U48" s="36">
        <v>0</v>
      </c>
      <c r="X48" s="26" t="s">
        <v>126</v>
      </c>
    </row>
    <row r="49" spans="1:25" x14ac:dyDescent="0.35">
      <c r="A49" s="26" t="s">
        <v>1513</v>
      </c>
      <c r="B49" s="32" t="s">
        <v>1514</v>
      </c>
      <c r="C49" s="26" t="s">
        <v>1514</v>
      </c>
      <c r="D49" s="26" t="s">
        <v>28</v>
      </c>
      <c r="E49" s="26" t="s">
        <v>1509</v>
      </c>
      <c r="F49" s="26" t="s">
        <v>1502</v>
      </c>
      <c r="G49" s="26" t="s">
        <v>1510</v>
      </c>
      <c r="J49" s="26" t="s">
        <v>574</v>
      </c>
      <c r="L49" s="26" t="s">
        <v>40</v>
      </c>
      <c r="N49" s="28">
        <v>45292</v>
      </c>
      <c r="O49" s="45">
        <v>45657</v>
      </c>
      <c r="P49" s="26">
        <v>52</v>
      </c>
      <c r="Q49" s="35" t="s">
        <v>49</v>
      </c>
      <c r="R49" s="29">
        <v>200000000</v>
      </c>
      <c r="S49" s="26"/>
      <c r="T49" s="29">
        <v>0</v>
      </c>
      <c r="U49" s="36">
        <v>0</v>
      </c>
      <c r="X49" s="26" t="s">
        <v>126</v>
      </c>
    </row>
    <row r="50" spans="1:25" x14ac:dyDescent="0.35">
      <c r="A50" s="26" t="s">
        <v>1515</v>
      </c>
      <c r="B50" s="32" t="s">
        <v>1516</v>
      </c>
      <c r="C50" s="26" t="s">
        <v>1516</v>
      </c>
      <c r="D50" s="26" t="s">
        <v>28</v>
      </c>
      <c r="E50" s="26" t="s">
        <v>1509</v>
      </c>
      <c r="F50" s="26" t="s">
        <v>1502</v>
      </c>
      <c r="G50" s="26" t="s">
        <v>1510</v>
      </c>
      <c r="J50" s="26" t="s">
        <v>574</v>
      </c>
      <c r="L50" s="26" t="s">
        <v>40</v>
      </c>
      <c r="N50" s="28">
        <v>45292</v>
      </c>
      <c r="O50" s="45">
        <v>45657</v>
      </c>
      <c r="P50" s="26">
        <v>52</v>
      </c>
      <c r="Q50" s="35" t="s">
        <v>49</v>
      </c>
      <c r="R50" s="29">
        <v>200000000</v>
      </c>
      <c r="S50" s="26"/>
      <c r="T50" s="29">
        <v>0</v>
      </c>
      <c r="U50" s="36">
        <v>0</v>
      </c>
      <c r="X50" s="26" t="s">
        <v>126</v>
      </c>
    </row>
    <row r="51" spans="1:25" x14ac:dyDescent="0.35">
      <c r="A51" s="26" t="s">
        <v>1517</v>
      </c>
      <c r="B51" s="32" t="s">
        <v>1518</v>
      </c>
      <c r="C51" s="26" t="s">
        <v>1518</v>
      </c>
      <c r="D51" s="26" t="s">
        <v>28</v>
      </c>
      <c r="E51" s="26" t="s">
        <v>1519</v>
      </c>
      <c r="F51" s="26" t="s">
        <v>1502</v>
      </c>
      <c r="G51" s="26" t="s">
        <v>1510</v>
      </c>
      <c r="J51" s="26" t="s">
        <v>574</v>
      </c>
      <c r="L51" s="26" t="s">
        <v>32</v>
      </c>
      <c r="N51" s="28">
        <v>45292</v>
      </c>
      <c r="O51" s="45">
        <v>45657</v>
      </c>
      <c r="P51" s="26">
        <v>52</v>
      </c>
      <c r="Q51" s="35" t="s">
        <v>49</v>
      </c>
      <c r="R51" s="29">
        <v>100000000</v>
      </c>
      <c r="S51" s="26"/>
      <c r="T51" s="29">
        <v>0</v>
      </c>
      <c r="U51" s="36">
        <v>0</v>
      </c>
      <c r="X51" s="26" t="s">
        <v>126</v>
      </c>
    </row>
    <row r="52" spans="1:25" x14ac:dyDescent="0.35">
      <c r="A52" s="26" t="s">
        <v>1520</v>
      </c>
      <c r="B52" s="32" t="s">
        <v>1521</v>
      </c>
      <c r="C52" s="26" t="s">
        <v>1521</v>
      </c>
      <c r="D52" s="26" t="s">
        <v>28</v>
      </c>
      <c r="E52" s="26" t="s">
        <v>1519</v>
      </c>
      <c r="F52" s="26" t="s">
        <v>1502</v>
      </c>
      <c r="G52" s="26" t="s">
        <v>1510</v>
      </c>
      <c r="J52" s="26" t="s">
        <v>1522</v>
      </c>
      <c r="L52" s="26" t="s">
        <v>32</v>
      </c>
      <c r="N52" s="28">
        <v>45292</v>
      </c>
      <c r="O52" s="45">
        <v>45657</v>
      </c>
      <c r="P52" s="26">
        <v>52</v>
      </c>
      <c r="Q52" s="35" t="s">
        <v>49</v>
      </c>
      <c r="R52" s="29">
        <v>100000000</v>
      </c>
      <c r="S52" s="26"/>
      <c r="T52" s="29">
        <v>0</v>
      </c>
      <c r="U52" s="36">
        <v>0</v>
      </c>
      <c r="X52" s="26" t="s">
        <v>126</v>
      </c>
    </row>
    <row r="53" spans="1:25" x14ac:dyDescent="0.35">
      <c r="A53" s="26" t="s">
        <v>1523</v>
      </c>
      <c r="B53" s="32" t="s">
        <v>1524</v>
      </c>
      <c r="C53" s="26" t="s">
        <v>1524</v>
      </c>
      <c r="D53" s="26" t="s">
        <v>28</v>
      </c>
      <c r="E53" s="26" t="s">
        <v>1519</v>
      </c>
      <c r="F53" s="26" t="s">
        <v>1502</v>
      </c>
      <c r="G53" s="26" t="s">
        <v>1510</v>
      </c>
      <c r="J53" s="26" t="s">
        <v>574</v>
      </c>
      <c r="L53" s="26" t="s">
        <v>32</v>
      </c>
      <c r="N53" s="28">
        <v>45292</v>
      </c>
      <c r="O53" s="45">
        <v>45657</v>
      </c>
      <c r="P53" s="26">
        <v>52</v>
      </c>
      <c r="Q53" s="35" t="s">
        <v>49</v>
      </c>
      <c r="R53" s="29">
        <v>500000000</v>
      </c>
      <c r="S53" s="26"/>
      <c r="T53" s="29">
        <v>0</v>
      </c>
      <c r="U53" s="36">
        <v>0</v>
      </c>
      <c r="X53" s="26" t="s">
        <v>126</v>
      </c>
    </row>
    <row r="54" spans="1:25" x14ac:dyDescent="0.35">
      <c r="A54" s="26" t="s">
        <v>1355</v>
      </c>
      <c r="B54" s="32" t="s">
        <v>1356</v>
      </c>
      <c r="C54" s="26" t="s">
        <v>1356</v>
      </c>
      <c r="D54" s="26" t="s">
        <v>28</v>
      </c>
      <c r="E54" s="26" t="s">
        <v>1357</v>
      </c>
      <c r="F54" s="26" t="s">
        <v>1283</v>
      </c>
      <c r="G54" s="26" t="s">
        <v>1284</v>
      </c>
      <c r="J54" s="26" t="s">
        <v>31</v>
      </c>
      <c r="L54" s="26" t="s">
        <v>40</v>
      </c>
      <c r="N54" s="28">
        <v>45292</v>
      </c>
      <c r="O54" s="45">
        <v>45657</v>
      </c>
      <c r="P54" s="26">
        <v>52</v>
      </c>
      <c r="Q54" s="35" t="s">
        <v>49</v>
      </c>
      <c r="R54" s="29">
        <v>915237404.5</v>
      </c>
      <c r="S54" s="26"/>
      <c r="T54" s="29">
        <v>0</v>
      </c>
      <c r="U54" s="36">
        <v>0</v>
      </c>
      <c r="X54" s="26" t="s">
        <v>50</v>
      </c>
    </row>
    <row r="55" spans="1:25" x14ac:dyDescent="0.35">
      <c r="A55" s="26" t="s">
        <v>1358</v>
      </c>
      <c r="B55" s="32" t="s">
        <v>1359</v>
      </c>
      <c r="C55" s="26" t="s">
        <v>1359</v>
      </c>
      <c r="D55" s="26" t="s">
        <v>28</v>
      </c>
      <c r="E55" s="26" t="s">
        <v>1357</v>
      </c>
      <c r="F55" s="26" t="s">
        <v>1283</v>
      </c>
      <c r="G55" s="26" t="s">
        <v>1284</v>
      </c>
      <c r="J55" s="26" t="s">
        <v>31</v>
      </c>
      <c r="L55" s="26" t="s">
        <v>40</v>
      </c>
      <c r="N55" s="28">
        <v>45292</v>
      </c>
      <c r="O55" s="45">
        <v>45657</v>
      </c>
      <c r="P55" s="26">
        <v>52</v>
      </c>
      <c r="Q55" s="35" t="s">
        <v>49</v>
      </c>
      <c r="R55" s="29">
        <v>563032070</v>
      </c>
      <c r="S55" s="26"/>
      <c r="T55" s="29">
        <v>0</v>
      </c>
      <c r="U55" s="36">
        <v>0</v>
      </c>
      <c r="X55" s="26" t="s">
        <v>50</v>
      </c>
    </row>
    <row r="56" spans="1:25" x14ac:dyDescent="0.35">
      <c r="A56" s="26" t="s">
        <v>1360</v>
      </c>
      <c r="B56" s="32" t="s">
        <v>1361</v>
      </c>
      <c r="C56" s="26" t="s">
        <v>1361</v>
      </c>
      <c r="D56" s="26" t="s">
        <v>28</v>
      </c>
      <c r="E56" s="26" t="s">
        <v>1357</v>
      </c>
      <c r="F56" s="26" t="s">
        <v>1283</v>
      </c>
      <c r="G56" s="26" t="s">
        <v>1284</v>
      </c>
      <c r="J56" s="26" t="s">
        <v>31</v>
      </c>
      <c r="L56" s="26" t="s">
        <v>40</v>
      </c>
      <c r="N56" s="28">
        <v>45292</v>
      </c>
      <c r="O56" s="45">
        <v>45657</v>
      </c>
      <c r="P56" s="26">
        <v>52</v>
      </c>
      <c r="Q56" s="35" t="s">
        <v>49</v>
      </c>
      <c r="R56" s="29">
        <v>168800000</v>
      </c>
      <c r="S56" s="26"/>
      <c r="T56" s="29">
        <v>0</v>
      </c>
      <c r="U56" s="36">
        <v>0</v>
      </c>
      <c r="X56" s="26" t="s">
        <v>50</v>
      </c>
    </row>
    <row r="57" spans="1:25" x14ac:dyDescent="0.35">
      <c r="A57" s="26" t="s">
        <v>1362</v>
      </c>
      <c r="B57" s="32" t="s">
        <v>1363</v>
      </c>
      <c r="C57" s="26" t="s">
        <v>1363</v>
      </c>
      <c r="D57" s="26" t="s">
        <v>28</v>
      </c>
      <c r="E57" s="26" t="s">
        <v>1364</v>
      </c>
      <c r="F57" s="26" t="s">
        <v>1249</v>
      </c>
      <c r="G57" s="26" t="s">
        <v>162</v>
      </c>
      <c r="J57" s="26" t="s">
        <v>146</v>
      </c>
      <c r="L57" s="26" t="s">
        <v>32</v>
      </c>
      <c r="N57" s="28">
        <v>45292</v>
      </c>
      <c r="O57" s="45">
        <v>45657</v>
      </c>
      <c r="P57" s="26">
        <v>52</v>
      </c>
      <c r="Q57" s="35" t="s">
        <v>49</v>
      </c>
      <c r="R57" s="29">
        <v>185000000</v>
      </c>
      <c r="S57" s="26"/>
      <c r="T57" s="29">
        <v>0</v>
      </c>
      <c r="U57" s="36">
        <v>0</v>
      </c>
      <c r="X57" s="26" t="s">
        <v>126</v>
      </c>
    </row>
    <row r="58" spans="1:25" x14ac:dyDescent="0.35">
      <c r="A58" s="26" t="s">
        <v>1894</v>
      </c>
      <c r="B58" s="32" t="s">
        <v>1895</v>
      </c>
      <c r="C58" s="26" t="s">
        <v>1896</v>
      </c>
      <c r="D58" s="26" t="s">
        <v>28</v>
      </c>
      <c r="E58" s="26" t="s">
        <v>29</v>
      </c>
      <c r="F58" s="26" t="s">
        <v>30</v>
      </c>
      <c r="G58" s="26" t="s">
        <v>30</v>
      </c>
      <c r="J58" s="26" t="s">
        <v>31</v>
      </c>
      <c r="L58" s="26" t="s">
        <v>32</v>
      </c>
      <c r="N58" s="28">
        <v>45292</v>
      </c>
      <c r="O58" s="28" t="s">
        <v>1897</v>
      </c>
      <c r="P58" s="26">
        <v>4</v>
      </c>
      <c r="Q58" s="35" t="s">
        <v>211</v>
      </c>
      <c r="R58" s="29">
        <v>30000000</v>
      </c>
      <c r="S58" s="33"/>
      <c r="T58" s="29">
        <v>30000000</v>
      </c>
      <c r="U58" s="36">
        <v>1</v>
      </c>
      <c r="V58" s="26" t="s">
        <v>35</v>
      </c>
      <c r="X58" s="26" t="s">
        <v>889</v>
      </c>
      <c r="Y58" s="26" t="s">
        <v>35</v>
      </c>
    </row>
    <row r="59" spans="1:25" x14ac:dyDescent="0.35">
      <c r="A59" s="26" t="s">
        <v>1898</v>
      </c>
      <c r="B59" s="32" t="s">
        <v>1899</v>
      </c>
      <c r="C59" s="26" t="s">
        <v>1900</v>
      </c>
      <c r="D59" s="26" t="s">
        <v>28</v>
      </c>
      <c r="E59" s="26" t="s">
        <v>29</v>
      </c>
      <c r="F59" s="26" t="s">
        <v>30</v>
      </c>
      <c r="G59" s="26" t="s">
        <v>30</v>
      </c>
      <c r="J59" s="26" t="s">
        <v>31</v>
      </c>
      <c r="L59" s="26" t="s">
        <v>32</v>
      </c>
      <c r="N59" s="28">
        <v>45293</v>
      </c>
      <c r="O59" s="28" t="s">
        <v>1901</v>
      </c>
      <c r="P59" s="26">
        <v>16</v>
      </c>
      <c r="Q59" s="35" t="s">
        <v>211</v>
      </c>
      <c r="R59" s="29" t="s">
        <v>125</v>
      </c>
      <c r="S59" s="33"/>
      <c r="T59" s="29">
        <v>305924000</v>
      </c>
      <c r="U59" s="36">
        <v>1</v>
      </c>
      <c r="V59" s="26" t="s">
        <v>35</v>
      </c>
      <c r="X59" s="26" t="s">
        <v>889</v>
      </c>
      <c r="Y59" s="26" t="s">
        <v>35</v>
      </c>
    </row>
    <row r="60" spans="1:25" x14ac:dyDescent="0.35">
      <c r="A60" s="26" t="s">
        <v>872</v>
      </c>
      <c r="B60" s="32" t="s">
        <v>873</v>
      </c>
      <c r="C60" s="26" t="s">
        <v>874</v>
      </c>
      <c r="D60" s="26" t="s">
        <v>734</v>
      </c>
      <c r="E60" s="26" t="s">
        <v>29</v>
      </c>
      <c r="F60" s="26" t="s">
        <v>30</v>
      </c>
      <c r="G60" s="26" t="s">
        <v>30</v>
      </c>
      <c r="J60" s="26" t="s">
        <v>31</v>
      </c>
      <c r="L60" s="26" t="s">
        <v>32</v>
      </c>
      <c r="N60" s="28">
        <v>44951</v>
      </c>
      <c r="O60" s="28">
        <v>45197</v>
      </c>
      <c r="P60" s="26">
        <v>39</v>
      </c>
      <c r="Q60" s="35" t="s">
        <v>211</v>
      </c>
      <c r="R60" s="29">
        <v>50000000</v>
      </c>
      <c r="S60" s="33"/>
      <c r="T60" s="29">
        <v>50000000</v>
      </c>
      <c r="U60" s="36">
        <v>1</v>
      </c>
      <c r="V60" s="26" t="s">
        <v>730</v>
      </c>
      <c r="W60" s="26" t="s">
        <v>875</v>
      </c>
      <c r="X60" s="26" t="s">
        <v>876</v>
      </c>
      <c r="Y60" s="26" t="s">
        <v>35</v>
      </c>
    </row>
    <row r="61" spans="1:25" x14ac:dyDescent="0.35">
      <c r="A61" s="26" t="s">
        <v>2445</v>
      </c>
      <c r="B61" s="32" t="s">
        <v>2598</v>
      </c>
      <c r="C61" s="26" t="s">
        <v>2431</v>
      </c>
      <c r="D61" s="26" t="s">
        <v>117</v>
      </c>
      <c r="E61" s="26" t="s">
        <v>29</v>
      </c>
      <c r="F61" s="26" t="s">
        <v>30</v>
      </c>
      <c r="G61" s="26" t="s">
        <v>30</v>
      </c>
      <c r="J61" s="26" t="s">
        <v>31</v>
      </c>
      <c r="L61" s="26" t="s">
        <v>32</v>
      </c>
      <c r="N61" s="28">
        <v>45076</v>
      </c>
      <c r="O61" s="28" t="s">
        <v>2413</v>
      </c>
      <c r="P61" s="26">
        <v>216</v>
      </c>
      <c r="Q61" s="35" t="s">
        <v>211</v>
      </c>
      <c r="R61" s="29">
        <v>6714000000</v>
      </c>
      <c r="S61" s="33"/>
      <c r="T61" s="29">
        <v>6655036585.3699999</v>
      </c>
      <c r="U61" s="36">
        <v>1</v>
      </c>
      <c r="V61" s="26" t="s">
        <v>35</v>
      </c>
      <c r="X61" s="26" t="s">
        <v>889</v>
      </c>
      <c r="Y61" s="26" t="s">
        <v>35</v>
      </c>
    </row>
    <row r="62" spans="1:25" x14ac:dyDescent="0.35">
      <c r="A62" s="26" t="s">
        <v>2446</v>
      </c>
      <c r="B62" s="32" t="s">
        <v>878</v>
      </c>
      <c r="C62" s="26" t="s">
        <v>2432</v>
      </c>
      <c r="D62" s="26" t="s">
        <v>28</v>
      </c>
      <c r="E62" s="26" t="s">
        <v>29</v>
      </c>
      <c r="F62" s="26" t="s">
        <v>30</v>
      </c>
      <c r="G62" s="26" t="s">
        <v>30</v>
      </c>
      <c r="J62" s="26" t="s">
        <v>31</v>
      </c>
      <c r="L62" s="26" t="s">
        <v>32</v>
      </c>
      <c r="N62" s="28">
        <v>46023</v>
      </c>
      <c r="O62" s="28" t="s">
        <v>2433</v>
      </c>
      <c r="P62" s="26">
        <v>28</v>
      </c>
      <c r="Q62" s="35" t="s">
        <v>211</v>
      </c>
      <c r="R62" s="29">
        <v>1795218118</v>
      </c>
      <c r="S62" s="33"/>
      <c r="T62" s="29">
        <v>1942895367</v>
      </c>
      <c r="U62" s="36">
        <f>T62/R62</f>
        <v>1.0822614519758318</v>
      </c>
      <c r="V62" s="26" t="s">
        <v>35</v>
      </c>
      <c r="X62" s="26" t="s">
        <v>889</v>
      </c>
      <c r="Y62" s="26" t="s">
        <v>35</v>
      </c>
    </row>
    <row r="63" spans="1:25" x14ac:dyDescent="0.35">
      <c r="A63" s="26" t="s">
        <v>2447</v>
      </c>
      <c r="B63" s="32" t="s">
        <v>2599</v>
      </c>
      <c r="C63" s="26" t="s">
        <v>2434</v>
      </c>
      <c r="D63" s="26" t="s">
        <v>28</v>
      </c>
      <c r="E63" s="26" t="s">
        <v>29</v>
      </c>
      <c r="F63" s="26" t="s">
        <v>30</v>
      </c>
      <c r="G63" s="26" t="s">
        <v>30</v>
      </c>
      <c r="J63" s="26" t="s">
        <v>31</v>
      </c>
      <c r="L63" s="26" t="s">
        <v>32</v>
      </c>
      <c r="N63" s="28">
        <v>46023</v>
      </c>
      <c r="O63" s="28" t="s">
        <v>2433</v>
      </c>
      <c r="P63" s="26">
        <v>28</v>
      </c>
      <c r="Q63" s="35" t="s">
        <v>211</v>
      </c>
      <c r="R63" s="29">
        <v>1324368488.5999999</v>
      </c>
      <c r="S63" s="33"/>
      <c r="T63" s="29">
        <v>992212737.48000002</v>
      </c>
      <c r="U63" s="36">
        <v>1</v>
      </c>
      <c r="V63" s="26" t="s">
        <v>35</v>
      </c>
      <c r="X63" s="26" t="s">
        <v>889</v>
      </c>
      <c r="Y63" s="26" t="s">
        <v>35</v>
      </c>
    </row>
    <row r="64" spans="1:25" x14ac:dyDescent="0.35">
      <c r="A64" s="26" t="s">
        <v>2448</v>
      </c>
      <c r="B64" s="32" t="s">
        <v>2600</v>
      </c>
      <c r="C64" s="26" t="s">
        <v>2435</v>
      </c>
      <c r="D64" s="26" t="s">
        <v>28</v>
      </c>
      <c r="E64" s="26" t="s">
        <v>29</v>
      </c>
      <c r="F64" s="26" t="s">
        <v>30</v>
      </c>
      <c r="G64" s="26" t="s">
        <v>30</v>
      </c>
      <c r="J64" s="26" t="s">
        <v>31</v>
      </c>
      <c r="L64" s="26" t="s">
        <v>32</v>
      </c>
      <c r="N64" s="28">
        <v>45658</v>
      </c>
      <c r="O64" s="28" t="s">
        <v>41</v>
      </c>
      <c r="P64" s="26">
        <v>54</v>
      </c>
      <c r="Q64" s="35" t="s">
        <v>211</v>
      </c>
      <c r="R64" s="29">
        <v>57830640</v>
      </c>
      <c r="S64" s="33"/>
      <c r="T64" s="29">
        <v>57830640</v>
      </c>
      <c r="U64" s="36">
        <f>T64/R64</f>
        <v>1</v>
      </c>
      <c r="V64" s="26" t="s">
        <v>35</v>
      </c>
      <c r="X64" s="26" t="s">
        <v>889</v>
      </c>
      <c r="Y64" s="26" t="s">
        <v>35</v>
      </c>
    </row>
    <row r="65" spans="1:25" x14ac:dyDescent="0.35">
      <c r="A65" s="26" t="s">
        <v>2613</v>
      </c>
      <c r="B65" s="32" t="s">
        <v>878</v>
      </c>
      <c r="C65" s="26" t="s">
        <v>879</v>
      </c>
      <c r="D65" s="26" t="s">
        <v>847</v>
      </c>
      <c r="E65" s="26" t="s">
        <v>29</v>
      </c>
      <c r="F65" s="26" t="s">
        <v>30</v>
      </c>
      <c r="G65" s="26" t="s">
        <v>30</v>
      </c>
      <c r="J65" s="26" t="s">
        <v>31</v>
      </c>
      <c r="L65" s="26" t="s">
        <v>32</v>
      </c>
      <c r="N65" s="28">
        <v>44951</v>
      </c>
      <c r="O65" s="28">
        <v>45109</v>
      </c>
      <c r="P65" s="26">
        <v>28</v>
      </c>
      <c r="Q65" s="35" t="s">
        <v>34</v>
      </c>
      <c r="R65" s="29">
        <v>500000000</v>
      </c>
      <c r="S65" s="33"/>
      <c r="T65" s="29">
        <v>2252895367</v>
      </c>
      <c r="U65" s="36">
        <v>1.45</v>
      </c>
      <c r="V65" s="26" t="s">
        <v>730</v>
      </c>
      <c r="W65" s="26" t="s">
        <v>880</v>
      </c>
      <c r="X65" s="26" t="s">
        <v>67</v>
      </c>
      <c r="Y65" s="26" t="s">
        <v>35</v>
      </c>
    </row>
    <row r="66" spans="1:25" x14ac:dyDescent="0.35">
      <c r="A66" s="26" t="s">
        <v>877</v>
      </c>
      <c r="B66" s="32" t="s">
        <v>2601</v>
      </c>
      <c r="C66" s="26" t="s">
        <v>2436</v>
      </c>
      <c r="D66" s="26" t="s">
        <v>28</v>
      </c>
      <c r="E66" s="26" t="s">
        <v>29</v>
      </c>
      <c r="F66" s="26" t="s">
        <v>30</v>
      </c>
      <c r="G66" s="26" t="s">
        <v>30</v>
      </c>
      <c r="J66" s="26" t="s">
        <v>31</v>
      </c>
      <c r="L66" s="26" t="s">
        <v>32</v>
      </c>
      <c r="N66" s="28">
        <v>46023</v>
      </c>
      <c r="O66" s="28" t="s">
        <v>2433</v>
      </c>
      <c r="P66" s="26">
        <v>28</v>
      </c>
      <c r="Q66" s="35" t="s">
        <v>34</v>
      </c>
      <c r="R66" s="29">
        <v>37250000000</v>
      </c>
      <c r="S66" s="33"/>
      <c r="T66" s="29">
        <v>9403839000</v>
      </c>
      <c r="U66" s="36">
        <f>T66/R66</f>
        <v>0.25245205369127516</v>
      </c>
      <c r="V66" s="26" t="s">
        <v>35</v>
      </c>
      <c r="X66" s="26" t="s">
        <v>889</v>
      </c>
      <c r="Y66" s="26" t="s">
        <v>35</v>
      </c>
    </row>
    <row r="67" spans="1:25" x14ac:dyDescent="0.35">
      <c r="A67" s="26" t="s">
        <v>2449</v>
      </c>
      <c r="B67" s="32" t="s">
        <v>2437</v>
      </c>
      <c r="C67" s="26" t="s">
        <v>2438</v>
      </c>
      <c r="D67" s="26" t="s">
        <v>2439</v>
      </c>
      <c r="E67" s="26" t="s">
        <v>29</v>
      </c>
      <c r="F67" s="26" t="s">
        <v>30</v>
      </c>
      <c r="G67" s="26" t="s">
        <v>30</v>
      </c>
      <c r="J67" s="26" t="s">
        <v>31</v>
      </c>
      <c r="L67" s="26" t="s">
        <v>32</v>
      </c>
      <c r="N67" s="28">
        <v>45660</v>
      </c>
      <c r="O67" s="28" t="s">
        <v>1778</v>
      </c>
      <c r="P67" s="26">
        <v>12</v>
      </c>
      <c r="Q67" s="35" t="s">
        <v>34</v>
      </c>
      <c r="R67" s="29">
        <v>690000000</v>
      </c>
      <c r="S67" s="33"/>
      <c r="T67" s="41">
        <v>313574000</v>
      </c>
      <c r="U67" s="36">
        <f>T67/R67</f>
        <v>0.45445507246376809</v>
      </c>
      <c r="V67" s="26" t="s">
        <v>35</v>
      </c>
      <c r="X67" s="26" t="s">
        <v>889</v>
      </c>
      <c r="Y67" s="26" t="s">
        <v>35</v>
      </c>
    </row>
    <row r="68" spans="1:25" x14ac:dyDescent="0.35">
      <c r="A68" s="26" t="s">
        <v>2450</v>
      </c>
      <c r="B68" s="32" t="s">
        <v>2602</v>
      </c>
      <c r="C68" s="26" t="s">
        <v>2440</v>
      </c>
      <c r="D68" s="26" t="s">
        <v>909</v>
      </c>
      <c r="E68" s="26" t="s">
        <v>29</v>
      </c>
      <c r="F68" s="26" t="s">
        <v>30</v>
      </c>
      <c r="G68" s="26" t="s">
        <v>30</v>
      </c>
      <c r="J68" s="26" t="s">
        <v>31</v>
      </c>
      <c r="L68" s="26" t="s">
        <v>32</v>
      </c>
      <c r="N68" s="28">
        <v>46023</v>
      </c>
      <c r="O68" s="28" t="s">
        <v>2413</v>
      </c>
      <c r="P68" s="26">
        <v>24</v>
      </c>
      <c r="Q68" s="35" t="s">
        <v>211</v>
      </c>
      <c r="R68" s="29">
        <v>400000000</v>
      </c>
      <c r="S68" s="33"/>
      <c r="T68" s="29">
        <v>351183200</v>
      </c>
      <c r="U68" s="36">
        <v>1</v>
      </c>
      <c r="V68" s="26" t="s">
        <v>35</v>
      </c>
      <c r="X68" s="26" t="s">
        <v>889</v>
      </c>
      <c r="Y68" s="26" t="s">
        <v>35</v>
      </c>
    </row>
    <row r="69" spans="1:25" ht="43.5" x14ac:dyDescent="0.35">
      <c r="A69" s="26" t="s">
        <v>2451</v>
      </c>
      <c r="B69" s="32" t="s">
        <v>2603</v>
      </c>
      <c r="C69" s="32" t="s">
        <v>2441</v>
      </c>
      <c r="D69" s="26" t="s">
        <v>117</v>
      </c>
      <c r="E69" s="26" t="s">
        <v>29</v>
      </c>
      <c r="F69" s="26" t="s">
        <v>30</v>
      </c>
      <c r="G69" s="26" t="s">
        <v>30</v>
      </c>
      <c r="J69" s="26" t="s">
        <v>31</v>
      </c>
      <c r="L69" s="26" t="s">
        <v>32</v>
      </c>
      <c r="N69" s="28">
        <v>45076</v>
      </c>
      <c r="O69" s="28" t="s">
        <v>2413</v>
      </c>
      <c r="P69" s="26">
        <v>216</v>
      </c>
      <c r="Q69" s="35" t="s">
        <v>211</v>
      </c>
      <c r="R69" s="29">
        <v>3575239199.5999999</v>
      </c>
      <c r="S69" s="33"/>
      <c r="T69" s="29">
        <v>2733060000</v>
      </c>
      <c r="U69" s="36">
        <v>1</v>
      </c>
      <c r="V69" s="26" t="s">
        <v>35</v>
      </c>
      <c r="X69" s="26" t="s">
        <v>889</v>
      </c>
      <c r="Y69" s="26" t="s">
        <v>35</v>
      </c>
    </row>
    <row r="70" spans="1:25" x14ac:dyDescent="0.35">
      <c r="A70" s="26" t="s">
        <v>2452</v>
      </c>
      <c r="B70" s="32" t="s">
        <v>2604</v>
      </c>
      <c r="C70" s="26" t="s">
        <v>2442</v>
      </c>
      <c r="D70" s="26" t="s">
        <v>117</v>
      </c>
      <c r="E70" s="26" t="s">
        <v>29</v>
      </c>
      <c r="F70" s="26" t="s">
        <v>30</v>
      </c>
      <c r="G70" s="26" t="s">
        <v>30</v>
      </c>
      <c r="J70" s="26" t="s">
        <v>31</v>
      </c>
      <c r="L70" s="26" t="s">
        <v>32</v>
      </c>
      <c r="N70" s="28">
        <v>45076</v>
      </c>
      <c r="O70" s="28" t="s">
        <v>1778</v>
      </c>
      <c r="P70" s="26">
        <v>212</v>
      </c>
      <c r="Q70" s="35" t="s">
        <v>211</v>
      </c>
      <c r="R70" s="29">
        <v>640000000</v>
      </c>
      <c r="S70" s="33"/>
      <c r="T70" s="29">
        <v>640000000</v>
      </c>
      <c r="U70" s="36">
        <v>1</v>
      </c>
      <c r="V70" s="26" t="s">
        <v>35</v>
      </c>
      <c r="X70" s="26" t="s">
        <v>889</v>
      </c>
      <c r="Y70" s="26" t="s">
        <v>35</v>
      </c>
    </row>
    <row r="71" spans="1:25" x14ac:dyDescent="0.35">
      <c r="A71" s="26" t="s">
        <v>2453</v>
      </c>
      <c r="B71" s="32" t="s">
        <v>2605</v>
      </c>
      <c r="C71" s="26" t="s">
        <v>2443</v>
      </c>
      <c r="D71" s="26" t="s">
        <v>117</v>
      </c>
      <c r="E71" s="26" t="s">
        <v>29</v>
      </c>
      <c r="F71" s="26" t="s">
        <v>30</v>
      </c>
      <c r="G71" s="26" t="s">
        <v>30</v>
      </c>
      <c r="J71" s="26" t="s">
        <v>31</v>
      </c>
      <c r="L71" s="26" t="s">
        <v>32</v>
      </c>
      <c r="N71" s="28">
        <v>45076</v>
      </c>
      <c r="O71" s="28" t="s">
        <v>2413</v>
      </c>
      <c r="P71" s="26">
        <v>216</v>
      </c>
      <c r="Q71" s="35" t="s">
        <v>211</v>
      </c>
      <c r="R71" s="29">
        <v>3055798500</v>
      </c>
      <c r="S71" s="33"/>
      <c r="T71" s="29">
        <v>1334900000</v>
      </c>
      <c r="U71" s="36">
        <v>1</v>
      </c>
      <c r="V71" s="26" t="s">
        <v>35</v>
      </c>
      <c r="X71" s="26" t="s">
        <v>889</v>
      </c>
      <c r="Y71" s="26" t="s">
        <v>35</v>
      </c>
    </row>
    <row r="72" spans="1:25" x14ac:dyDescent="0.35">
      <c r="A72" s="26" t="s">
        <v>2454</v>
      </c>
      <c r="B72" s="32" t="s">
        <v>2606</v>
      </c>
      <c r="C72" s="26" t="s">
        <v>2444</v>
      </c>
      <c r="D72" s="26" t="s">
        <v>28</v>
      </c>
      <c r="E72" s="26" t="s">
        <v>29</v>
      </c>
      <c r="F72" s="26" t="s">
        <v>30</v>
      </c>
      <c r="G72" s="26" t="s">
        <v>30</v>
      </c>
      <c r="J72" s="26" t="s">
        <v>31</v>
      </c>
      <c r="L72" s="26" t="s">
        <v>32</v>
      </c>
      <c r="N72" s="28">
        <v>45076</v>
      </c>
      <c r="O72" s="28" t="s">
        <v>2413</v>
      </c>
      <c r="P72" s="26">
        <v>216</v>
      </c>
      <c r="Q72" s="35" t="s">
        <v>211</v>
      </c>
      <c r="R72" s="29">
        <v>856970165.32000005</v>
      </c>
      <c r="S72" s="33"/>
      <c r="T72" s="29">
        <v>40000000</v>
      </c>
      <c r="U72" s="36">
        <v>1</v>
      </c>
      <c r="V72" s="26" t="s">
        <v>35</v>
      </c>
      <c r="X72" s="26" t="s">
        <v>889</v>
      </c>
      <c r="Y72" s="26" t="s">
        <v>35</v>
      </c>
    </row>
    <row r="73" spans="1:25" x14ac:dyDescent="0.35">
      <c r="A73" s="26" t="s">
        <v>881</v>
      </c>
      <c r="B73" s="32" t="s">
        <v>882</v>
      </c>
      <c r="C73" s="26" t="s">
        <v>882</v>
      </c>
      <c r="D73" s="26" t="s">
        <v>734</v>
      </c>
      <c r="E73" s="26" t="s">
        <v>29</v>
      </c>
      <c r="F73" s="26" t="s">
        <v>30</v>
      </c>
      <c r="G73" s="26" t="s">
        <v>30</v>
      </c>
      <c r="J73" s="26" t="s">
        <v>31</v>
      </c>
      <c r="L73" s="26" t="s">
        <v>32</v>
      </c>
      <c r="N73" s="28">
        <v>45353</v>
      </c>
      <c r="O73" s="28">
        <v>45486</v>
      </c>
      <c r="P73" s="26">
        <v>14</v>
      </c>
      <c r="Q73" s="35" t="s">
        <v>49</v>
      </c>
      <c r="R73" s="29">
        <v>30613923.530000001</v>
      </c>
      <c r="S73" s="33"/>
      <c r="T73" s="29">
        <v>0</v>
      </c>
      <c r="U73" s="36">
        <v>0</v>
      </c>
      <c r="V73" s="26" t="s">
        <v>35</v>
      </c>
      <c r="X73" s="26" t="s">
        <v>74</v>
      </c>
      <c r="Y73" s="26" t="s">
        <v>35</v>
      </c>
    </row>
    <row r="74" spans="1:25" x14ac:dyDescent="0.35">
      <c r="A74" s="26" t="s">
        <v>883</v>
      </c>
      <c r="B74" s="32" t="s">
        <v>884</v>
      </c>
      <c r="C74" s="26" t="s">
        <v>885</v>
      </c>
      <c r="D74" s="26" t="s">
        <v>734</v>
      </c>
      <c r="E74" s="26" t="s">
        <v>29</v>
      </c>
      <c r="F74" s="26" t="s">
        <v>30</v>
      </c>
      <c r="G74" s="26" t="s">
        <v>30</v>
      </c>
      <c r="J74" s="26" t="s">
        <v>31</v>
      </c>
      <c r="L74" s="26" t="s">
        <v>349</v>
      </c>
      <c r="N74" s="28">
        <v>45316</v>
      </c>
      <c r="O74" s="28">
        <v>45563</v>
      </c>
      <c r="P74" s="26">
        <v>36</v>
      </c>
      <c r="Q74" s="35" t="s">
        <v>49</v>
      </c>
      <c r="R74" s="29">
        <v>50000000</v>
      </c>
      <c r="S74" s="33"/>
      <c r="T74" s="29">
        <v>0</v>
      </c>
      <c r="U74" s="36">
        <v>0</v>
      </c>
      <c r="V74" s="26" t="s">
        <v>35</v>
      </c>
      <c r="X74" s="26" t="s">
        <v>80</v>
      </c>
      <c r="Y74" s="26" t="s">
        <v>35</v>
      </c>
    </row>
    <row r="75" spans="1:25" x14ac:dyDescent="0.35">
      <c r="A75" s="26" t="s">
        <v>886</v>
      </c>
      <c r="B75" s="32" t="s">
        <v>887</v>
      </c>
      <c r="C75" s="26" t="s">
        <v>888</v>
      </c>
      <c r="D75" s="26" t="s">
        <v>734</v>
      </c>
      <c r="E75" s="26" t="s">
        <v>29</v>
      </c>
      <c r="F75" s="26" t="s">
        <v>30</v>
      </c>
      <c r="G75" s="26" t="s">
        <v>30</v>
      </c>
      <c r="J75" s="26" t="s">
        <v>31</v>
      </c>
      <c r="L75" s="26" t="s">
        <v>32</v>
      </c>
      <c r="N75" s="28">
        <v>45365</v>
      </c>
      <c r="O75" s="28">
        <v>45483</v>
      </c>
      <c r="P75" s="26">
        <v>25</v>
      </c>
      <c r="Q75" s="35" t="s">
        <v>49</v>
      </c>
      <c r="R75" s="29">
        <v>30633400.359999999</v>
      </c>
      <c r="S75" s="33"/>
      <c r="T75" s="29">
        <v>0</v>
      </c>
      <c r="U75" s="36">
        <v>0</v>
      </c>
      <c r="V75" s="26" t="s">
        <v>730</v>
      </c>
      <c r="W75" s="26" t="s">
        <v>885</v>
      </c>
      <c r="X75" s="26" t="s">
        <v>889</v>
      </c>
      <c r="Y75" s="26" t="s">
        <v>35</v>
      </c>
    </row>
    <row r="76" spans="1:25" x14ac:dyDescent="0.35">
      <c r="A76" s="26" t="s">
        <v>890</v>
      </c>
      <c r="B76" s="32" t="s">
        <v>891</v>
      </c>
      <c r="C76" s="26" t="s">
        <v>892</v>
      </c>
      <c r="D76" s="26" t="s">
        <v>847</v>
      </c>
      <c r="E76" s="26" t="s">
        <v>29</v>
      </c>
      <c r="F76" s="26" t="s">
        <v>30</v>
      </c>
      <c r="G76" s="26" t="s">
        <v>30</v>
      </c>
      <c r="J76" s="26" t="s">
        <v>31</v>
      </c>
      <c r="L76" s="26" t="s">
        <v>32</v>
      </c>
      <c r="N76" s="28">
        <v>44951</v>
      </c>
      <c r="O76" s="28">
        <v>45197</v>
      </c>
      <c r="P76" s="26">
        <v>33</v>
      </c>
      <c r="Q76" s="35" t="s">
        <v>34</v>
      </c>
      <c r="R76" s="29">
        <v>300000000</v>
      </c>
      <c r="S76" s="33"/>
      <c r="T76" s="29">
        <v>81000000</v>
      </c>
      <c r="U76" s="36">
        <v>0.27</v>
      </c>
      <c r="V76" s="26" t="s">
        <v>35</v>
      </c>
      <c r="X76" s="26" t="s">
        <v>893</v>
      </c>
      <c r="Y76" s="26" t="s">
        <v>35</v>
      </c>
    </row>
    <row r="77" spans="1:25" x14ac:dyDescent="0.35">
      <c r="A77" s="26" t="s">
        <v>894</v>
      </c>
      <c r="B77" s="32" t="s">
        <v>895</v>
      </c>
      <c r="C77" s="26" t="s">
        <v>895</v>
      </c>
      <c r="D77" s="26" t="s">
        <v>734</v>
      </c>
      <c r="E77" s="26" t="s">
        <v>29</v>
      </c>
      <c r="F77" s="26" t="s">
        <v>30</v>
      </c>
      <c r="G77" s="26" t="s">
        <v>30</v>
      </c>
      <c r="J77" s="26" t="s">
        <v>31</v>
      </c>
      <c r="L77" s="26" t="s">
        <v>32</v>
      </c>
      <c r="N77" s="28">
        <v>45108</v>
      </c>
      <c r="O77" s="28">
        <v>45269</v>
      </c>
      <c r="P77" s="26">
        <v>26</v>
      </c>
      <c r="Q77" s="35" t="s">
        <v>34</v>
      </c>
      <c r="R77" s="29">
        <v>71754525.599999994</v>
      </c>
      <c r="S77" s="33"/>
      <c r="T77" s="29">
        <v>64095000</v>
      </c>
      <c r="U77" s="36">
        <v>0.89</v>
      </c>
      <c r="V77" s="26" t="s">
        <v>35</v>
      </c>
      <c r="X77" s="26" t="s">
        <v>893</v>
      </c>
      <c r="Y77" s="26" t="s">
        <v>35</v>
      </c>
    </row>
    <row r="78" spans="1:25" x14ac:dyDescent="0.35">
      <c r="A78" s="26" t="s">
        <v>26</v>
      </c>
      <c r="B78" s="32" t="s">
        <v>27</v>
      </c>
      <c r="C78" s="26" t="s">
        <v>27</v>
      </c>
      <c r="D78" s="26" t="s">
        <v>28</v>
      </c>
      <c r="E78" s="26" t="s">
        <v>29</v>
      </c>
      <c r="F78" s="26" t="s">
        <v>30</v>
      </c>
      <c r="G78" s="26" t="s">
        <v>30</v>
      </c>
      <c r="J78" s="26" t="s">
        <v>31</v>
      </c>
      <c r="L78" s="26" t="s">
        <v>32</v>
      </c>
      <c r="N78" s="28">
        <v>45292</v>
      </c>
      <c r="O78" s="28" t="s">
        <v>33</v>
      </c>
      <c r="P78" s="26">
        <v>52</v>
      </c>
      <c r="Q78" s="35" t="s">
        <v>34</v>
      </c>
      <c r="R78" s="29">
        <v>975239999.60000002</v>
      </c>
      <c r="S78" s="33">
        <v>975239999.60000002</v>
      </c>
      <c r="T78" s="29">
        <v>2541100000</v>
      </c>
      <c r="U78" s="36">
        <v>2.6055999999999999</v>
      </c>
      <c r="V78" s="26" t="s">
        <v>35</v>
      </c>
      <c r="X78" s="26" t="s">
        <v>36</v>
      </c>
    </row>
    <row r="79" spans="1:25" x14ac:dyDescent="0.35">
      <c r="A79" s="26" t="s">
        <v>37</v>
      </c>
      <c r="B79" s="32" t="s">
        <v>38</v>
      </c>
      <c r="C79" s="26" t="s">
        <v>38</v>
      </c>
      <c r="D79" s="26" t="s">
        <v>39</v>
      </c>
      <c r="E79" s="26" t="s">
        <v>29</v>
      </c>
      <c r="F79" s="26" t="s">
        <v>30</v>
      </c>
      <c r="G79" s="26" t="s">
        <v>30</v>
      </c>
      <c r="J79" s="26" t="s">
        <v>31</v>
      </c>
      <c r="L79" s="26" t="s">
        <v>40</v>
      </c>
      <c r="N79" s="28">
        <v>45293</v>
      </c>
      <c r="O79" s="28" t="s">
        <v>41</v>
      </c>
      <c r="P79" s="26">
        <v>52</v>
      </c>
      <c r="Q79" s="35" t="s">
        <v>34</v>
      </c>
      <c r="R79" s="29">
        <v>35000000</v>
      </c>
      <c r="S79" s="33">
        <v>35000000</v>
      </c>
      <c r="T79" s="29">
        <v>15000000</v>
      </c>
      <c r="U79" s="36">
        <v>0.42859999999999998</v>
      </c>
      <c r="V79" s="26" t="s">
        <v>35</v>
      </c>
      <c r="X79" s="26" t="s">
        <v>42</v>
      </c>
    </row>
    <row r="80" spans="1:25" x14ac:dyDescent="0.35">
      <c r="A80" s="26" t="s">
        <v>43</v>
      </c>
      <c r="B80" s="32" t="s">
        <v>44</v>
      </c>
      <c r="C80" s="26" t="s">
        <v>44</v>
      </c>
      <c r="D80" s="26" t="s">
        <v>28</v>
      </c>
      <c r="E80" s="26" t="s">
        <v>29</v>
      </c>
      <c r="F80" s="26" t="s">
        <v>30</v>
      </c>
      <c r="G80" s="26" t="s">
        <v>30</v>
      </c>
      <c r="J80" s="26" t="s">
        <v>31</v>
      </c>
      <c r="L80" s="26" t="s">
        <v>40</v>
      </c>
      <c r="N80" s="28">
        <v>45294</v>
      </c>
      <c r="O80" s="28" t="s">
        <v>45</v>
      </c>
      <c r="P80" s="26">
        <v>52</v>
      </c>
      <c r="Q80" s="35" t="s">
        <v>34</v>
      </c>
      <c r="R80" s="29">
        <v>270000000</v>
      </c>
      <c r="S80" s="33">
        <v>270000000</v>
      </c>
      <c r="T80" s="29">
        <v>80000000</v>
      </c>
      <c r="U80" s="36">
        <v>0.3</v>
      </c>
      <c r="V80" s="26" t="s">
        <v>35</v>
      </c>
      <c r="X80" s="26" t="s">
        <v>36</v>
      </c>
    </row>
    <row r="81" spans="1:24" x14ac:dyDescent="0.35">
      <c r="A81" s="26" t="s">
        <v>46</v>
      </c>
      <c r="B81" s="32" t="s">
        <v>47</v>
      </c>
      <c r="C81" s="26" t="s">
        <v>47</v>
      </c>
      <c r="D81" s="26" t="s">
        <v>28</v>
      </c>
      <c r="E81" s="26" t="s">
        <v>29</v>
      </c>
      <c r="F81" s="26" t="s">
        <v>30</v>
      </c>
      <c r="G81" s="26" t="s">
        <v>30</v>
      </c>
      <c r="J81" s="26" t="s">
        <v>31</v>
      </c>
      <c r="L81" s="26" t="s">
        <v>32</v>
      </c>
      <c r="N81" s="28">
        <v>45295</v>
      </c>
      <c r="O81" s="28" t="s">
        <v>48</v>
      </c>
      <c r="P81" s="26">
        <v>52</v>
      </c>
      <c r="Q81" s="35" t="s">
        <v>34</v>
      </c>
      <c r="R81" s="29">
        <v>500000000</v>
      </c>
      <c r="S81" s="33"/>
      <c r="T81" s="29">
        <v>664536585.37</v>
      </c>
      <c r="U81" s="36">
        <v>1.33</v>
      </c>
      <c r="V81" s="26" t="s">
        <v>35</v>
      </c>
      <c r="X81" s="26" t="s">
        <v>50</v>
      </c>
    </row>
    <row r="82" spans="1:24" x14ac:dyDescent="0.35">
      <c r="A82" s="26" t="s">
        <v>51</v>
      </c>
      <c r="B82" s="32" t="s">
        <v>52</v>
      </c>
      <c r="C82" s="26" t="s">
        <v>52</v>
      </c>
      <c r="D82" s="26" t="s">
        <v>28</v>
      </c>
      <c r="E82" s="26" t="s">
        <v>29</v>
      </c>
      <c r="F82" s="26" t="s">
        <v>30</v>
      </c>
      <c r="G82" s="26" t="s">
        <v>30</v>
      </c>
      <c r="J82" s="26" t="s">
        <v>31</v>
      </c>
      <c r="L82" s="26" t="s">
        <v>53</v>
      </c>
      <c r="N82" s="28">
        <v>45296</v>
      </c>
      <c r="O82" s="28" t="s">
        <v>54</v>
      </c>
      <c r="P82" s="26">
        <v>52</v>
      </c>
      <c r="Q82" s="35" t="s">
        <v>49</v>
      </c>
      <c r="R82" s="29">
        <v>300798500</v>
      </c>
      <c r="S82" s="33"/>
      <c r="T82" s="29">
        <v>0</v>
      </c>
      <c r="U82" s="36">
        <v>0</v>
      </c>
      <c r="V82" s="26" t="s">
        <v>35</v>
      </c>
      <c r="X82" s="26" t="s">
        <v>55</v>
      </c>
    </row>
    <row r="83" spans="1:24" x14ac:dyDescent="0.35">
      <c r="A83" s="26" t="s">
        <v>56</v>
      </c>
      <c r="B83" s="32" t="s">
        <v>57</v>
      </c>
      <c r="C83" s="26" t="s">
        <v>58</v>
      </c>
      <c r="D83" s="26" t="s">
        <v>28</v>
      </c>
      <c r="E83" s="26" t="s">
        <v>29</v>
      </c>
      <c r="F83" s="26" t="s">
        <v>30</v>
      </c>
      <c r="G83" s="26" t="s">
        <v>30</v>
      </c>
      <c r="J83" s="26" t="s">
        <v>31</v>
      </c>
      <c r="L83" s="26" t="s">
        <v>40</v>
      </c>
      <c r="N83" s="28">
        <v>45297</v>
      </c>
      <c r="O83" s="28" t="s">
        <v>33</v>
      </c>
      <c r="P83" s="26">
        <v>52</v>
      </c>
      <c r="Q83" s="35" t="s">
        <v>34</v>
      </c>
      <c r="R83" s="29">
        <v>2000000000</v>
      </c>
      <c r="S83" s="33">
        <v>800000000</v>
      </c>
      <c r="T83" s="29">
        <v>2134130341.46</v>
      </c>
      <c r="U83" s="36">
        <v>2.67</v>
      </c>
      <c r="X83" s="26" t="s">
        <v>59</v>
      </c>
    </row>
    <row r="84" spans="1:24" x14ac:dyDescent="0.35">
      <c r="A84" s="26" t="s">
        <v>60</v>
      </c>
      <c r="B84" s="32" t="s">
        <v>61</v>
      </c>
      <c r="C84" s="26" t="s">
        <v>61</v>
      </c>
      <c r="D84" s="26" t="s">
        <v>28</v>
      </c>
      <c r="E84" s="26" t="s">
        <v>29</v>
      </c>
      <c r="F84" s="26" t="s">
        <v>30</v>
      </c>
      <c r="G84" s="26" t="s">
        <v>30</v>
      </c>
      <c r="J84" s="26" t="s">
        <v>31</v>
      </c>
      <c r="L84" s="26" t="s">
        <v>53</v>
      </c>
      <c r="N84" s="28">
        <v>45298</v>
      </c>
      <c r="O84" s="28" t="s">
        <v>62</v>
      </c>
      <c r="P84" s="26">
        <v>52</v>
      </c>
      <c r="Q84" s="35" t="s">
        <v>49</v>
      </c>
      <c r="R84" s="29">
        <v>360000000</v>
      </c>
      <c r="S84" s="33"/>
      <c r="T84" s="29">
        <v>0</v>
      </c>
      <c r="U84" s="36">
        <v>0</v>
      </c>
      <c r="X84" s="26" t="s">
        <v>63</v>
      </c>
    </row>
    <row r="85" spans="1:24" x14ac:dyDescent="0.35">
      <c r="A85" s="26" t="s">
        <v>64</v>
      </c>
      <c r="B85" s="32" t="s">
        <v>65</v>
      </c>
      <c r="C85" s="26" t="s">
        <v>65</v>
      </c>
      <c r="D85" s="26" t="s">
        <v>28</v>
      </c>
      <c r="E85" s="26" t="s">
        <v>29</v>
      </c>
      <c r="F85" s="26" t="s">
        <v>30</v>
      </c>
      <c r="G85" s="26" t="s">
        <v>30</v>
      </c>
      <c r="J85" s="26" t="s">
        <v>31</v>
      </c>
      <c r="L85" s="26" t="s">
        <v>66</v>
      </c>
      <c r="N85" s="28">
        <v>45299</v>
      </c>
      <c r="O85" s="28">
        <v>48213</v>
      </c>
      <c r="P85" s="26">
        <v>52</v>
      </c>
      <c r="Q85" s="35" t="s">
        <v>211</v>
      </c>
      <c r="R85" s="41">
        <v>14823031560</v>
      </c>
      <c r="S85" s="33"/>
      <c r="T85" s="29">
        <v>1184561010.3900001</v>
      </c>
      <c r="U85" s="36">
        <v>1</v>
      </c>
      <c r="X85" s="26" t="s">
        <v>67</v>
      </c>
    </row>
    <row r="86" spans="1:24" x14ac:dyDescent="0.35">
      <c r="A86" s="26" t="s">
        <v>68</v>
      </c>
      <c r="B86" s="32" t="s">
        <v>69</v>
      </c>
      <c r="C86" s="26" t="s">
        <v>69</v>
      </c>
      <c r="D86" s="26" t="s">
        <v>28</v>
      </c>
      <c r="E86" s="26" t="s">
        <v>29</v>
      </c>
      <c r="F86" s="26" t="s">
        <v>30</v>
      </c>
      <c r="G86" s="26" t="s">
        <v>30</v>
      </c>
      <c r="J86" s="26" t="s">
        <v>31</v>
      </c>
      <c r="L86" s="26" t="s">
        <v>40</v>
      </c>
      <c r="N86" s="28">
        <v>45300</v>
      </c>
      <c r="O86" s="28" t="s">
        <v>70</v>
      </c>
      <c r="P86" s="26">
        <v>52</v>
      </c>
      <c r="Q86" s="35" t="s">
        <v>49</v>
      </c>
      <c r="R86" s="29">
        <v>18714938.82</v>
      </c>
      <c r="S86" s="33"/>
      <c r="T86" s="29">
        <v>0</v>
      </c>
      <c r="U86" s="36">
        <v>0</v>
      </c>
      <c r="X86" s="26" t="s">
        <v>67</v>
      </c>
    </row>
    <row r="87" spans="1:24" x14ac:dyDescent="0.35">
      <c r="A87" s="26" t="s">
        <v>71</v>
      </c>
      <c r="B87" s="32" t="s">
        <v>72</v>
      </c>
      <c r="C87" s="26" t="s">
        <v>72</v>
      </c>
      <c r="D87" s="26" t="s">
        <v>28</v>
      </c>
      <c r="E87" s="26" t="s">
        <v>29</v>
      </c>
      <c r="F87" s="26" t="s">
        <v>30</v>
      </c>
      <c r="G87" s="26" t="s">
        <v>30</v>
      </c>
      <c r="J87" s="26" t="s">
        <v>31</v>
      </c>
      <c r="L87" s="26" t="s">
        <v>32</v>
      </c>
      <c r="N87" s="28">
        <v>45301</v>
      </c>
      <c r="O87" s="28" t="s">
        <v>73</v>
      </c>
      <c r="P87" s="26">
        <v>52</v>
      </c>
      <c r="Q87" s="35" t="s">
        <v>49</v>
      </c>
      <c r="R87" s="29">
        <v>15000000</v>
      </c>
      <c r="S87" s="33"/>
      <c r="T87" s="29">
        <v>0</v>
      </c>
      <c r="U87" s="36">
        <v>0</v>
      </c>
      <c r="X87" s="26" t="s">
        <v>74</v>
      </c>
    </row>
    <row r="88" spans="1:24" x14ac:dyDescent="0.35">
      <c r="A88" s="26" t="s">
        <v>75</v>
      </c>
      <c r="B88" s="32" t="s">
        <v>76</v>
      </c>
      <c r="C88" s="26" t="s">
        <v>76</v>
      </c>
      <c r="D88" s="26" t="s">
        <v>77</v>
      </c>
      <c r="E88" s="26" t="s">
        <v>29</v>
      </c>
      <c r="F88" s="26" t="s">
        <v>30</v>
      </c>
      <c r="G88" s="26" t="s">
        <v>30</v>
      </c>
      <c r="J88" s="26" t="s">
        <v>31</v>
      </c>
      <c r="L88" s="26" t="s">
        <v>78</v>
      </c>
      <c r="N88" s="28">
        <v>45302</v>
      </c>
      <c r="O88" s="28" t="s">
        <v>79</v>
      </c>
      <c r="P88" s="26">
        <v>52</v>
      </c>
      <c r="Q88" s="35" t="s">
        <v>49</v>
      </c>
      <c r="R88" s="29">
        <v>55000000</v>
      </c>
      <c r="S88" s="33"/>
      <c r="T88" s="29">
        <v>0</v>
      </c>
      <c r="U88" s="36">
        <v>0</v>
      </c>
      <c r="X88" s="26" t="s">
        <v>80</v>
      </c>
    </row>
    <row r="89" spans="1:24" x14ac:dyDescent="0.35">
      <c r="A89" s="26" t="s">
        <v>81</v>
      </c>
      <c r="B89" s="32" t="s">
        <v>82</v>
      </c>
      <c r="C89" s="26" t="s">
        <v>82</v>
      </c>
      <c r="D89" s="26" t="s">
        <v>28</v>
      </c>
      <c r="E89" s="26" t="s">
        <v>29</v>
      </c>
      <c r="F89" s="26" t="s">
        <v>30</v>
      </c>
      <c r="G89" s="26" t="s">
        <v>30</v>
      </c>
      <c r="J89" s="26" t="s">
        <v>31</v>
      </c>
      <c r="L89" s="26" t="s">
        <v>78</v>
      </c>
      <c r="N89" s="28">
        <v>45303</v>
      </c>
      <c r="O89" s="28" t="s">
        <v>83</v>
      </c>
      <c r="P89" s="26">
        <v>52</v>
      </c>
      <c r="Q89" s="35" t="s">
        <v>49</v>
      </c>
      <c r="R89" s="29">
        <v>288334455</v>
      </c>
      <c r="S89" s="33"/>
      <c r="T89" s="29">
        <v>0</v>
      </c>
      <c r="U89" s="36">
        <v>0</v>
      </c>
      <c r="X89" s="26" t="s">
        <v>84</v>
      </c>
    </row>
    <row r="90" spans="1:24" x14ac:dyDescent="0.35">
      <c r="A90" s="26" t="s">
        <v>85</v>
      </c>
      <c r="B90" s="32" t="s">
        <v>86</v>
      </c>
      <c r="C90" s="26" t="s">
        <v>86</v>
      </c>
      <c r="D90" s="26" t="s">
        <v>28</v>
      </c>
      <c r="E90" s="26" t="s">
        <v>29</v>
      </c>
      <c r="F90" s="26" t="s">
        <v>30</v>
      </c>
      <c r="G90" s="26" t="s">
        <v>30</v>
      </c>
      <c r="J90" s="26" t="s">
        <v>31</v>
      </c>
      <c r="L90" s="26" t="s">
        <v>78</v>
      </c>
      <c r="N90" s="28">
        <v>45304</v>
      </c>
      <c r="O90" s="28" t="s">
        <v>87</v>
      </c>
      <c r="P90" s="26">
        <v>52</v>
      </c>
      <c r="Q90" s="35" t="s">
        <v>49</v>
      </c>
      <c r="R90" s="29">
        <v>100000000</v>
      </c>
      <c r="S90" s="33"/>
      <c r="T90" s="29">
        <v>0</v>
      </c>
      <c r="U90" s="36">
        <v>0</v>
      </c>
      <c r="X90" s="26" t="s">
        <v>84</v>
      </c>
    </row>
    <row r="91" spans="1:24" x14ac:dyDescent="0.35">
      <c r="A91" s="26" t="s">
        <v>88</v>
      </c>
      <c r="B91" s="32" t="s">
        <v>89</v>
      </c>
      <c r="C91" s="26" t="s">
        <v>89</v>
      </c>
      <c r="D91" s="26" t="s">
        <v>28</v>
      </c>
      <c r="E91" s="26" t="s">
        <v>29</v>
      </c>
      <c r="F91" s="26" t="s">
        <v>30</v>
      </c>
      <c r="G91" s="26" t="s">
        <v>30</v>
      </c>
      <c r="J91" s="26" t="s">
        <v>90</v>
      </c>
      <c r="L91" s="26" t="s">
        <v>91</v>
      </c>
      <c r="N91" s="28">
        <v>45305</v>
      </c>
      <c r="O91" s="28" t="s">
        <v>92</v>
      </c>
      <c r="P91" s="26">
        <v>52</v>
      </c>
      <c r="Q91" s="35" t="s">
        <v>34</v>
      </c>
      <c r="R91" s="29">
        <v>70578080.5</v>
      </c>
      <c r="S91" s="33"/>
      <c r="T91" s="29">
        <v>37000000</v>
      </c>
      <c r="U91" s="36">
        <v>0.52</v>
      </c>
      <c r="X91" s="26" t="s">
        <v>63</v>
      </c>
    </row>
    <row r="92" spans="1:24" x14ac:dyDescent="0.35">
      <c r="A92" s="26" t="s">
        <v>93</v>
      </c>
      <c r="B92" s="32" t="s">
        <v>94</v>
      </c>
      <c r="C92" s="26" t="s">
        <v>94</v>
      </c>
      <c r="D92" s="26" t="s">
        <v>95</v>
      </c>
      <c r="E92" s="26" t="s">
        <v>29</v>
      </c>
      <c r="F92" s="26" t="s">
        <v>30</v>
      </c>
      <c r="G92" s="26" t="s">
        <v>30</v>
      </c>
      <c r="J92" s="26" t="s">
        <v>31</v>
      </c>
      <c r="L92" s="26" t="s">
        <v>53</v>
      </c>
      <c r="N92" s="28">
        <v>45306</v>
      </c>
      <c r="O92" s="28" t="s">
        <v>96</v>
      </c>
      <c r="P92" s="26">
        <v>52</v>
      </c>
      <c r="Q92" s="35" t="s">
        <v>49</v>
      </c>
      <c r="R92" s="29">
        <v>55000000</v>
      </c>
      <c r="S92" s="33"/>
      <c r="T92" s="29">
        <v>0</v>
      </c>
      <c r="U92" s="36">
        <v>0</v>
      </c>
      <c r="X92" s="26" t="s">
        <v>80</v>
      </c>
    </row>
    <row r="93" spans="1:24" x14ac:dyDescent="0.35">
      <c r="A93" s="26" t="s">
        <v>97</v>
      </c>
      <c r="B93" s="32" t="s">
        <v>98</v>
      </c>
      <c r="C93" s="26" t="s">
        <v>98</v>
      </c>
      <c r="D93" s="26" t="s">
        <v>28</v>
      </c>
      <c r="E93" s="26" t="s">
        <v>29</v>
      </c>
      <c r="F93" s="26" t="s">
        <v>30</v>
      </c>
      <c r="G93" s="26" t="s">
        <v>30</v>
      </c>
      <c r="J93" s="26" t="s">
        <v>31</v>
      </c>
      <c r="L93" s="26" t="s">
        <v>53</v>
      </c>
      <c r="N93" s="28">
        <v>45307</v>
      </c>
      <c r="O93" s="28" t="s">
        <v>99</v>
      </c>
      <c r="P93" s="26">
        <v>52</v>
      </c>
      <c r="Q93" s="35" t="s">
        <v>49</v>
      </c>
      <c r="R93" s="29">
        <v>65900000</v>
      </c>
      <c r="S93" s="33"/>
      <c r="T93" s="29">
        <v>0</v>
      </c>
      <c r="U93" s="36">
        <v>0</v>
      </c>
      <c r="X93" s="26" t="s">
        <v>100</v>
      </c>
    </row>
    <row r="94" spans="1:24" x14ac:dyDescent="0.35">
      <c r="A94" s="26" t="s">
        <v>101</v>
      </c>
      <c r="B94" s="32" t="s">
        <v>102</v>
      </c>
      <c r="C94" s="26" t="s">
        <v>102</v>
      </c>
      <c r="D94" s="26" t="s">
        <v>28</v>
      </c>
      <c r="E94" s="26" t="s">
        <v>29</v>
      </c>
      <c r="F94" s="26" t="s">
        <v>30</v>
      </c>
      <c r="G94" s="26" t="s">
        <v>30</v>
      </c>
      <c r="J94" s="26" t="s">
        <v>90</v>
      </c>
      <c r="L94" s="26" t="s">
        <v>91</v>
      </c>
      <c r="N94" s="28">
        <v>45308</v>
      </c>
      <c r="O94" s="28" t="s">
        <v>103</v>
      </c>
      <c r="P94" s="26">
        <v>52</v>
      </c>
      <c r="Q94" s="35" t="s">
        <v>49</v>
      </c>
      <c r="R94" s="29">
        <v>11445000</v>
      </c>
      <c r="S94" s="33"/>
      <c r="T94" s="29">
        <v>0</v>
      </c>
      <c r="U94" s="36">
        <v>0</v>
      </c>
      <c r="X94" s="26" t="s">
        <v>100</v>
      </c>
    </row>
    <row r="95" spans="1:24" x14ac:dyDescent="0.35">
      <c r="A95" s="26" t="s">
        <v>104</v>
      </c>
      <c r="B95" s="32" t="s">
        <v>105</v>
      </c>
      <c r="C95" s="26" t="s">
        <v>105</v>
      </c>
      <c r="D95" s="26" t="s">
        <v>28</v>
      </c>
      <c r="E95" s="26" t="s">
        <v>29</v>
      </c>
      <c r="F95" s="26" t="s">
        <v>30</v>
      </c>
      <c r="G95" s="26" t="s">
        <v>30</v>
      </c>
      <c r="J95" s="26" t="s">
        <v>31</v>
      </c>
      <c r="L95" s="26" t="s">
        <v>53</v>
      </c>
      <c r="N95" s="28">
        <v>45309</v>
      </c>
      <c r="O95" s="28" t="s">
        <v>106</v>
      </c>
      <c r="P95" s="26">
        <v>52</v>
      </c>
      <c r="Q95" s="35" t="s">
        <v>49</v>
      </c>
      <c r="R95" s="29">
        <v>25304620.32</v>
      </c>
      <c r="S95" s="33"/>
      <c r="T95" s="29">
        <v>0</v>
      </c>
      <c r="U95" s="36">
        <v>0</v>
      </c>
      <c r="X95" s="26" t="s">
        <v>100</v>
      </c>
    </row>
    <row r="96" spans="1:24" x14ac:dyDescent="0.35">
      <c r="A96" s="26" t="s">
        <v>107</v>
      </c>
      <c r="B96" s="32" t="s">
        <v>108</v>
      </c>
      <c r="C96" s="26" t="s">
        <v>108</v>
      </c>
      <c r="D96" s="26" t="s">
        <v>109</v>
      </c>
      <c r="E96" s="26" t="s">
        <v>29</v>
      </c>
      <c r="F96" s="26" t="s">
        <v>30</v>
      </c>
      <c r="G96" s="26" t="s">
        <v>30</v>
      </c>
      <c r="J96" s="26" t="s">
        <v>90</v>
      </c>
      <c r="L96" s="26" t="s">
        <v>91</v>
      </c>
      <c r="N96" s="28">
        <v>45310</v>
      </c>
      <c r="O96" s="28" t="s">
        <v>110</v>
      </c>
      <c r="P96" s="26">
        <v>52</v>
      </c>
      <c r="Q96" s="35" t="s">
        <v>49</v>
      </c>
      <c r="R96" s="29">
        <v>11665545</v>
      </c>
      <c r="S96" s="33"/>
      <c r="T96" s="50">
        <v>0</v>
      </c>
      <c r="U96" s="36">
        <v>0</v>
      </c>
      <c r="X96" s="26" t="s">
        <v>100</v>
      </c>
    </row>
    <row r="97" spans="1:25" x14ac:dyDescent="0.35">
      <c r="A97" s="26" t="s">
        <v>111</v>
      </c>
      <c r="B97" s="32" t="s">
        <v>112</v>
      </c>
      <c r="C97" s="26" t="s">
        <v>112</v>
      </c>
      <c r="D97" s="26" t="s">
        <v>28</v>
      </c>
      <c r="E97" s="26" t="s">
        <v>29</v>
      </c>
      <c r="F97" s="26" t="s">
        <v>30</v>
      </c>
      <c r="G97" s="26" t="s">
        <v>30</v>
      </c>
      <c r="J97" s="26" t="s">
        <v>113</v>
      </c>
      <c r="L97" s="26" t="s">
        <v>53</v>
      </c>
      <c r="N97" s="28">
        <v>45311</v>
      </c>
      <c r="O97" s="28" t="s">
        <v>114</v>
      </c>
      <c r="P97" s="26">
        <v>52</v>
      </c>
      <c r="Q97" s="35" t="s">
        <v>49</v>
      </c>
      <c r="R97" s="29">
        <v>41797139.310000002</v>
      </c>
      <c r="S97" s="33"/>
      <c r="T97" s="29">
        <v>0</v>
      </c>
      <c r="U97" s="36">
        <v>0</v>
      </c>
      <c r="X97" s="26" t="s">
        <v>100</v>
      </c>
    </row>
    <row r="98" spans="1:25" x14ac:dyDescent="0.35">
      <c r="A98" s="26" t="s">
        <v>115</v>
      </c>
      <c r="B98" s="32" t="s">
        <v>116</v>
      </c>
      <c r="C98" s="26" t="s">
        <v>116</v>
      </c>
      <c r="D98" s="26" t="s">
        <v>117</v>
      </c>
      <c r="E98" s="26" t="s">
        <v>29</v>
      </c>
      <c r="F98" s="26" t="s">
        <v>30</v>
      </c>
      <c r="G98" s="26" t="s">
        <v>30</v>
      </c>
      <c r="J98" s="26" t="s">
        <v>113</v>
      </c>
      <c r="L98" s="26" t="s">
        <v>53</v>
      </c>
      <c r="N98" s="28">
        <v>45312</v>
      </c>
      <c r="O98" s="28" t="s">
        <v>118</v>
      </c>
      <c r="P98" s="26">
        <v>52</v>
      </c>
      <c r="Q98" s="35" t="s">
        <v>49</v>
      </c>
      <c r="R98" s="29">
        <v>436000000</v>
      </c>
      <c r="S98" s="33"/>
      <c r="T98" s="29">
        <v>0</v>
      </c>
      <c r="U98" s="36">
        <v>0</v>
      </c>
      <c r="X98" s="26" t="s">
        <v>100</v>
      </c>
    </row>
    <row r="99" spans="1:25" x14ac:dyDescent="0.35">
      <c r="A99" s="26" t="s">
        <v>119</v>
      </c>
      <c r="B99" s="32" t="s">
        <v>120</v>
      </c>
      <c r="C99" s="26" t="s">
        <v>120</v>
      </c>
      <c r="D99" s="26" t="s">
        <v>109</v>
      </c>
      <c r="E99" s="26" t="s">
        <v>29</v>
      </c>
      <c r="F99" s="26" t="s">
        <v>30</v>
      </c>
      <c r="G99" s="26" t="s">
        <v>30</v>
      </c>
      <c r="J99" s="26" t="s">
        <v>31</v>
      </c>
      <c r="L99" s="26" t="s">
        <v>40</v>
      </c>
      <c r="N99" s="28">
        <v>45313</v>
      </c>
      <c r="O99" s="28" t="s">
        <v>121</v>
      </c>
      <c r="P99" s="26">
        <v>52</v>
      </c>
      <c r="Q99" s="35" t="s">
        <v>49</v>
      </c>
      <c r="R99" s="29">
        <v>200000000</v>
      </c>
      <c r="S99" s="33"/>
      <c r="T99" s="29">
        <v>0</v>
      </c>
      <c r="U99" s="36">
        <v>0</v>
      </c>
      <c r="X99" s="26" t="s">
        <v>100</v>
      </c>
    </row>
    <row r="100" spans="1:25" x14ac:dyDescent="0.35">
      <c r="A100" s="26" t="s">
        <v>1871</v>
      </c>
      <c r="B100" s="32" t="s">
        <v>1872</v>
      </c>
      <c r="C100" s="26" t="s">
        <v>1873</v>
      </c>
      <c r="D100" s="26" t="s">
        <v>117</v>
      </c>
      <c r="E100" s="26" t="s">
        <v>135</v>
      </c>
      <c r="F100" s="26" t="s">
        <v>30</v>
      </c>
      <c r="G100" s="26" t="s">
        <v>30</v>
      </c>
      <c r="J100" s="26" t="s">
        <v>31</v>
      </c>
      <c r="L100" s="26" t="s">
        <v>32</v>
      </c>
      <c r="N100" s="28">
        <v>45293</v>
      </c>
      <c r="O100" s="28" t="s">
        <v>1874</v>
      </c>
      <c r="P100" s="26">
        <v>4</v>
      </c>
      <c r="Q100" s="35" t="s">
        <v>211</v>
      </c>
      <c r="R100" s="29">
        <v>2500000</v>
      </c>
      <c r="S100" s="26"/>
      <c r="T100" s="29">
        <v>2500000</v>
      </c>
      <c r="U100" s="36">
        <v>1</v>
      </c>
      <c r="X100" s="26" t="s">
        <v>140</v>
      </c>
    </row>
    <row r="101" spans="1:25" x14ac:dyDescent="0.35">
      <c r="A101" s="26" t="s">
        <v>868</v>
      </c>
      <c r="B101" s="32" t="s">
        <v>869</v>
      </c>
      <c r="C101" s="26" t="s">
        <v>870</v>
      </c>
      <c r="D101" s="26" t="s">
        <v>871</v>
      </c>
      <c r="E101" s="26" t="s">
        <v>135</v>
      </c>
      <c r="F101" s="26" t="s">
        <v>30</v>
      </c>
      <c r="G101" s="26" t="s">
        <v>30</v>
      </c>
      <c r="J101" s="26" t="s">
        <v>113</v>
      </c>
      <c r="L101" s="26" t="s">
        <v>53</v>
      </c>
      <c r="N101" s="28">
        <v>45217</v>
      </c>
      <c r="O101" s="28">
        <v>45291</v>
      </c>
      <c r="P101" s="26">
        <v>52</v>
      </c>
      <c r="Q101" s="35" t="s">
        <v>737</v>
      </c>
      <c r="R101" s="50">
        <v>600000000</v>
      </c>
      <c r="S101" s="26"/>
      <c r="T101" s="50">
        <v>0</v>
      </c>
      <c r="U101" s="36">
        <v>0</v>
      </c>
      <c r="X101" s="26" t="s">
        <v>140</v>
      </c>
    </row>
    <row r="102" spans="1:25" x14ac:dyDescent="0.35">
      <c r="A102" s="26" t="s">
        <v>1868</v>
      </c>
      <c r="B102" s="32" t="s">
        <v>1869</v>
      </c>
      <c r="C102" s="26" t="s">
        <v>1870</v>
      </c>
      <c r="D102" s="26" t="s">
        <v>117</v>
      </c>
      <c r="E102" s="26" t="s">
        <v>135</v>
      </c>
      <c r="F102" s="26" t="s">
        <v>30</v>
      </c>
      <c r="G102" s="26" t="s">
        <v>30</v>
      </c>
      <c r="J102" s="26" t="s">
        <v>31</v>
      </c>
      <c r="L102" s="26" t="s">
        <v>32</v>
      </c>
      <c r="N102" s="28">
        <v>44197</v>
      </c>
      <c r="O102" s="28" t="s">
        <v>33</v>
      </c>
      <c r="Q102" s="35" t="s">
        <v>34</v>
      </c>
      <c r="R102" s="29">
        <v>150000000</v>
      </c>
      <c r="S102" s="26"/>
      <c r="T102" s="29">
        <v>150000000</v>
      </c>
      <c r="U102" s="36">
        <v>1</v>
      </c>
      <c r="X102" s="26" t="s">
        <v>140</v>
      </c>
    </row>
    <row r="103" spans="1:25" x14ac:dyDescent="0.35">
      <c r="A103" s="26" t="s">
        <v>977</v>
      </c>
      <c r="B103" s="32" t="s">
        <v>978</v>
      </c>
      <c r="C103" s="26" t="s">
        <v>979</v>
      </c>
      <c r="D103" s="26" t="s">
        <v>734</v>
      </c>
      <c r="E103" s="26" t="s">
        <v>135</v>
      </c>
      <c r="F103" s="26" t="s">
        <v>30</v>
      </c>
      <c r="G103" s="26" t="s">
        <v>30</v>
      </c>
      <c r="J103" s="26" t="s">
        <v>113</v>
      </c>
      <c r="L103" s="26" t="s">
        <v>32</v>
      </c>
      <c r="N103" s="28">
        <v>45261</v>
      </c>
      <c r="O103" s="28">
        <v>45322</v>
      </c>
      <c r="P103" s="26">
        <v>8</v>
      </c>
      <c r="Q103" s="35" t="s">
        <v>49</v>
      </c>
      <c r="R103" s="29">
        <v>136000000</v>
      </c>
      <c r="S103" s="26"/>
      <c r="T103" s="29">
        <v>0</v>
      </c>
      <c r="U103" s="36">
        <v>0</v>
      </c>
      <c r="V103" s="26" t="s">
        <v>35</v>
      </c>
      <c r="X103" s="26" t="s">
        <v>50</v>
      </c>
    </row>
    <row r="104" spans="1:25" x14ac:dyDescent="0.35">
      <c r="A104" s="26" t="s">
        <v>980</v>
      </c>
      <c r="B104" s="32" t="s">
        <v>981</v>
      </c>
      <c r="C104" s="26" t="s">
        <v>982</v>
      </c>
      <c r="D104" s="26" t="s">
        <v>734</v>
      </c>
      <c r="E104" s="26" t="s">
        <v>135</v>
      </c>
      <c r="F104" s="26" t="s">
        <v>30</v>
      </c>
      <c r="G104" s="26" t="s">
        <v>30</v>
      </c>
      <c r="J104" s="26" t="s">
        <v>146</v>
      </c>
      <c r="L104" s="26" t="s">
        <v>349</v>
      </c>
      <c r="N104" s="28">
        <v>45292</v>
      </c>
      <c r="O104" s="28">
        <v>45351</v>
      </c>
      <c r="P104" s="26">
        <v>8</v>
      </c>
      <c r="Q104" s="35" t="s">
        <v>49</v>
      </c>
      <c r="R104" s="29">
        <v>145192260</v>
      </c>
      <c r="S104" s="26"/>
      <c r="T104" s="29">
        <v>0</v>
      </c>
      <c r="U104" s="36">
        <v>0</v>
      </c>
      <c r="V104" s="26" t="s">
        <v>35</v>
      </c>
      <c r="X104" s="26" t="s">
        <v>140</v>
      </c>
    </row>
    <row r="105" spans="1:25" x14ac:dyDescent="0.35">
      <c r="A105" s="26" t="s">
        <v>983</v>
      </c>
      <c r="B105" s="32" t="s">
        <v>984</v>
      </c>
      <c r="C105" s="26" t="s">
        <v>984</v>
      </c>
      <c r="D105" s="26" t="s">
        <v>734</v>
      </c>
      <c r="E105" s="26" t="s">
        <v>135</v>
      </c>
      <c r="F105" s="26" t="s">
        <v>30</v>
      </c>
      <c r="G105" s="26" t="s">
        <v>30</v>
      </c>
      <c r="J105" s="26" t="s">
        <v>146</v>
      </c>
      <c r="L105" s="26" t="s">
        <v>32</v>
      </c>
      <c r="N105" s="28">
        <v>45292</v>
      </c>
      <c r="O105" s="28">
        <v>45351</v>
      </c>
      <c r="P105" s="26">
        <v>8</v>
      </c>
      <c r="Q105" s="35" t="s">
        <v>49</v>
      </c>
      <c r="R105" s="29">
        <v>115000000</v>
      </c>
      <c r="S105" s="26"/>
      <c r="T105" s="29">
        <v>0</v>
      </c>
      <c r="U105" s="36">
        <v>0</v>
      </c>
      <c r="V105" s="26" t="s">
        <v>35</v>
      </c>
      <c r="X105" s="26" t="s">
        <v>140</v>
      </c>
    </row>
    <row r="106" spans="1:25" x14ac:dyDescent="0.35">
      <c r="A106" s="26" t="s">
        <v>985</v>
      </c>
      <c r="B106" s="32" t="s">
        <v>986</v>
      </c>
      <c r="C106" s="26" t="s">
        <v>986</v>
      </c>
      <c r="D106" s="26" t="s">
        <v>847</v>
      </c>
      <c r="E106" s="26" t="s">
        <v>135</v>
      </c>
      <c r="F106" s="26" t="s">
        <v>30</v>
      </c>
      <c r="G106" s="26" t="s">
        <v>30</v>
      </c>
      <c r="J106" s="26" t="s">
        <v>31</v>
      </c>
      <c r="L106" s="26" t="s">
        <v>32</v>
      </c>
      <c r="N106" s="28">
        <v>45292</v>
      </c>
      <c r="O106" s="28">
        <v>45381</v>
      </c>
      <c r="P106" s="26">
        <v>12</v>
      </c>
      <c r="Q106" s="35" t="s">
        <v>49</v>
      </c>
      <c r="R106" s="29">
        <v>400000000</v>
      </c>
      <c r="S106" s="26"/>
      <c r="T106" s="29">
        <v>0</v>
      </c>
      <c r="U106" s="36">
        <v>0</v>
      </c>
      <c r="V106" s="26" t="s">
        <v>35</v>
      </c>
      <c r="X106" s="26" t="s">
        <v>140</v>
      </c>
    </row>
    <row r="107" spans="1:25" ht="29" x14ac:dyDescent="0.35">
      <c r="A107" s="26" t="s">
        <v>1875</v>
      </c>
      <c r="B107" s="32" t="s">
        <v>1876</v>
      </c>
      <c r="C107" s="26" t="s">
        <v>1877</v>
      </c>
      <c r="D107" s="26" t="s">
        <v>909</v>
      </c>
      <c r="E107" s="26" t="s">
        <v>135</v>
      </c>
      <c r="F107" s="26" t="s">
        <v>30</v>
      </c>
      <c r="G107" s="26" t="s">
        <v>30</v>
      </c>
      <c r="J107" s="26" t="s">
        <v>31</v>
      </c>
      <c r="L107" s="26" t="s">
        <v>32</v>
      </c>
      <c r="N107" s="28">
        <v>44934</v>
      </c>
      <c r="O107" s="28" t="s">
        <v>1878</v>
      </c>
      <c r="P107" s="26">
        <v>52</v>
      </c>
      <c r="Q107" s="35" t="s">
        <v>211</v>
      </c>
      <c r="R107" s="29">
        <v>5000000</v>
      </c>
      <c r="S107" s="26"/>
      <c r="T107" s="29">
        <v>5000000</v>
      </c>
      <c r="U107" s="36">
        <v>1</v>
      </c>
      <c r="X107" s="26" t="s">
        <v>140</v>
      </c>
    </row>
    <row r="108" spans="1:25" x14ac:dyDescent="0.35">
      <c r="A108" s="26" t="s">
        <v>133</v>
      </c>
      <c r="B108" s="32" t="s">
        <v>134</v>
      </c>
      <c r="C108" s="26" t="s">
        <v>134</v>
      </c>
      <c r="D108" s="26" t="s">
        <v>28</v>
      </c>
      <c r="E108" s="26" t="s">
        <v>135</v>
      </c>
      <c r="F108" s="26" t="s">
        <v>30</v>
      </c>
      <c r="G108" s="26" t="s">
        <v>30</v>
      </c>
      <c r="J108" s="26" t="s">
        <v>113</v>
      </c>
      <c r="L108" s="26" t="s">
        <v>53</v>
      </c>
      <c r="N108" s="28">
        <v>45317</v>
      </c>
      <c r="O108" s="28" t="s">
        <v>136</v>
      </c>
      <c r="P108" s="26">
        <v>52</v>
      </c>
      <c r="Q108" s="35" t="s">
        <v>49</v>
      </c>
      <c r="R108" s="29">
        <v>800000000</v>
      </c>
      <c r="S108" s="26">
        <v>0</v>
      </c>
      <c r="T108" s="29">
        <v>0</v>
      </c>
      <c r="U108" s="36">
        <v>0</v>
      </c>
      <c r="V108" s="26" t="s">
        <v>35</v>
      </c>
      <c r="X108" s="26" t="s">
        <v>50</v>
      </c>
    </row>
    <row r="109" spans="1:25" x14ac:dyDescent="0.35">
      <c r="A109" s="26" t="s">
        <v>137</v>
      </c>
      <c r="B109" s="32" t="s">
        <v>138</v>
      </c>
      <c r="C109" s="26" t="s">
        <v>138</v>
      </c>
      <c r="D109" s="26" t="s">
        <v>117</v>
      </c>
      <c r="E109" s="26" t="s">
        <v>135</v>
      </c>
      <c r="F109" s="26" t="s">
        <v>30</v>
      </c>
      <c r="G109" s="26" t="s">
        <v>30</v>
      </c>
      <c r="J109" s="26" t="s">
        <v>113</v>
      </c>
      <c r="L109" s="26" t="s">
        <v>53</v>
      </c>
      <c r="N109" s="28">
        <v>45318</v>
      </c>
      <c r="O109" s="28" t="s">
        <v>139</v>
      </c>
      <c r="P109" s="26">
        <v>52</v>
      </c>
      <c r="Q109" s="35" t="s">
        <v>49</v>
      </c>
      <c r="R109" s="29">
        <v>25000000</v>
      </c>
      <c r="S109" s="26">
        <v>0</v>
      </c>
      <c r="T109" s="29">
        <v>0</v>
      </c>
      <c r="U109" s="36">
        <v>0</v>
      </c>
      <c r="V109" s="26" t="s">
        <v>35</v>
      </c>
      <c r="X109" s="26" t="s">
        <v>140</v>
      </c>
    </row>
    <row r="110" spans="1:25" x14ac:dyDescent="0.35">
      <c r="A110" s="26" t="s">
        <v>896</v>
      </c>
      <c r="B110" s="32" t="s">
        <v>897</v>
      </c>
      <c r="C110" s="26" t="s">
        <v>898</v>
      </c>
      <c r="D110" s="26" t="s">
        <v>847</v>
      </c>
      <c r="E110" s="26" t="s">
        <v>123</v>
      </c>
      <c r="F110" s="26" t="s">
        <v>30</v>
      </c>
      <c r="G110" s="26" t="s">
        <v>30</v>
      </c>
      <c r="J110" s="26" t="s">
        <v>31</v>
      </c>
      <c r="L110" s="26" t="s">
        <v>40</v>
      </c>
      <c r="N110" s="28">
        <v>45292</v>
      </c>
      <c r="O110" s="28">
        <v>46054</v>
      </c>
      <c r="P110" s="26">
        <v>96</v>
      </c>
      <c r="Q110" s="35" t="s">
        <v>49</v>
      </c>
      <c r="R110" s="29">
        <v>40000000</v>
      </c>
      <c r="S110" s="26"/>
      <c r="T110" s="29">
        <v>0</v>
      </c>
      <c r="U110" s="36">
        <v>0</v>
      </c>
      <c r="V110" s="26" t="s">
        <v>35</v>
      </c>
      <c r="W110" s="26" t="s">
        <v>899</v>
      </c>
      <c r="X110" s="26" t="s">
        <v>900</v>
      </c>
      <c r="Y110" s="26" t="s">
        <v>35</v>
      </c>
    </row>
    <row r="111" spans="1:25" ht="29" x14ac:dyDescent="0.35">
      <c r="A111" s="26" t="s">
        <v>1989</v>
      </c>
      <c r="B111" s="32" t="s">
        <v>1990</v>
      </c>
      <c r="C111" s="32" t="s">
        <v>1991</v>
      </c>
      <c r="D111" s="26" t="s">
        <v>28</v>
      </c>
      <c r="E111" s="26" t="s">
        <v>123</v>
      </c>
      <c r="F111" s="26" t="s">
        <v>30</v>
      </c>
      <c r="G111" s="26" t="s">
        <v>30</v>
      </c>
      <c r="J111" s="26" t="s">
        <v>31</v>
      </c>
      <c r="L111" s="26" t="s">
        <v>40</v>
      </c>
      <c r="N111" s="28" t="s">
        <v>1838</v>
      </c>
      <c r="O111" s="28" t="s">
        <v>1901</v>
      </c>
      <c r="P111" s="26">
        <v>48</v>
      </c>
      <c r="Q111" s="35" t="s">
        <v>211</v>
      </c>
      <c r="R111" s="29">
        <v>3728437498.4699998</v>
      </c>
      <c r="S111" s="33"/>
      <c r="T111" s="29">
        <v>3728437498.4699998</v>
      </c>
      <c r="U111" s="36">
        <v>1</v>
      </c>
      <c r="V111" s="26" t="s">
        <v>730</v>
      </c>
      <c r="W111" s="26" t="s">
        <v>1992</v>
      </c>
      <c r="X111" s="26" t="s">
        <v>900</v>
      </c>
      <c r="Y111" s="26" t="s">
        <v>35</v>
      </c>
    </row>
    <row r="112" spans="1:25" ht="15.5" x14ac:dyDescent="0.35">
      <c r="A112" s="26" t="s">
        <v>901</v>
      </c>
      <c r="B112" s="32" t="s">
        <v>902</v>
      </c>
      <c r="C112" s="32" t="s">
        <v>902</v>
      </c>
      <c r="D112" s="26" t="s">
        <v>903</v>
      </c>
      <c r="E112" s="26" t="s">
        <v>123</v>
      </c>
      <c r="F112" s="26" t="s">
        <v>30</v>
      </c>
      <c r="G112" s="26" t="s">
        <v>30</v>
      </c>
      <c r="J112" s="26" t="s">
        <v>31</v>
      </c>
      <c r="L112" s="26" t="s">
        <v>40</v>
      </c>
      <c r="N112" s="28">
        <v>45246</v>
      </c>
      <c r="O112" s="28">
        <v>45612</v>
      </c>
      <c r="P112" s="26">
        <v>48</v>
      </c>
      <c r="Q112" s="35" t="s">
        <v>904</v>
      </c>
      <c r="R112" s="29">
        <v>9708475451.0200005</v>
      </c>
      <c r="S112" s="26"/>
      <c r="T112" s="51">
        <v>8299996716.9949999</v>
      </c>
      <c r="U112" s="36">
        <v>0.45</v>
      </c>
      <c r="V112" s="26" t="s">
        <v>730</v>
      </c>
      <c r="W112" s="26" t="s">
        <v>905</v>
      </c>
      <c r="X112" s="26" t="s">
        <v>900</v>
      </c>
      <c r="Y112" s="26" t="s">
        <v>35</v>
      </c>
    </row>
    <row r="113" spans="1:26" x14ac:dyDescent="0.35">
      <c r="A113" s="26" t="s">
        <v>906</v>
      </c>
      <c r="B113" s="32" t="s">
        <v>907</v>
      </c>
      <c r="C113" s="26" t="s">
        <v>908</v>
      </c>
      <c r="D113" s="26" t="s">
        <v>909</v>
      </c>
      <c r="E113" s="26" t="s">
        <v>123</v>
      </c>
      <c r="F113" s="26" t="s">
        <v>30</v>
      </c>
      <c r="G113" s="26" t="s">
        <v>30</v>
      </c>
      <c r="J113" s="26" t="s">
        <v>31</v>
      </c>
      <c r="L113" s="26" t="s">
        <v>40</v>
      </c>
      <c r="N113" s="28">
        <v>45246</v>
      </c>
      <c r="O113" s="28">
        <v>45393</v>
      </c>
      <c r="P113" s="26">
        <v>1</v>
      </c>
      <c r="Q113" s="35" t="s">
        <v>49</v>
      </c>
      <c r="R113" s="29">
        <v>100000000</v>
      </c>
      <c r="S113" s="26"/>
      <c r="T113" s="29">
        <v>0</v>
      </c>
      <c r="U113" s="36">
        <v>0</v>
      </c>
      <c r="V113" s="26" t="s">
        <v>35</v>
      </c>
      <c r="W113" s="26" t="s">
        <v>910</v>
      </c>
      <c r="X113" s="26" t="s">
        <v>900</v>
      </c>
      <c r="Y113" s="26" t="s">
        <v>35</v>
      </c>
    </row>
    <row r="114" spans="1:26" x14ac:dyDescent="0.35">
      <c r="A114" s="26" t="s">
        <v>911</v>
      </c>
      <c r="B114" s="32" t="s">
        <v>912</v>
      </c>
      <c r="C114" s="26" t="s">
        <v>913</v>
      </c>
      <c r="D114" s="26" t="s">
        <v>847</v>
      </c>
      <c r="E114" s="26" t="s">
        <v>123</v>
      </c>
      <c r="F114" s="26" t="s">
        <v>30</v>
      </c>
      <c r="G114" s="26" t="s">
        <v>30</v>
      </c>
      <c r="J114" s="26" t="s">
        <v>31</v>
      </c>
      <c r="L114" s="26" t="s">
        <v>40</v>
      </c>
      <c r="N114" s="28">
        <v>45246</v>
      </c>
      <c r="O114" s="28">
        <v>45607</v>
      </c>
      <c r="P114" s="26">
        <v>48</v>
      </c>
      <c r="Q114" s="35" t="s">
        <v>49</v>
      </c>
      <c r="R114" s="29">
        <v>50000000</v>
      </c>
      <c r="S114" s="26"/>
      <c r="T114" s="29">
        <v>0</v>
      </c>
      <c r="U114" s="36">
        <v>0</v>
      </c>
      <c r="V114" s="26" t="s">
        <v>730</v>
      </c>
      <c r="W114" s="26" t="s">
        <v>914</v>
      </c>
      <c r="X114" s="26" t="s">
        <v>900</v>
      </c>
      <c r="Y114" s="26" t="s">
        <v>35</v>
      </c>
    </row>
    <row r="115" spans="1:26" x14ac:dyDescent="0.35">
      <c r="A115" s="26" t="s">
        <v>915</v>
      </c>
      <c r="B115" s="32" t="s">
        <v>916</v>
      </c>
      <c r="C115" s="26" t="s">
        <v>917</v>
      </c>
      <c r="D115" s="26" t="s">
        <v>918</v>
      </c>
      <c r="E115" s="26" t="s">
        <v>123</v>
      </c>
      <c r="F115" s="26" t="s">
        <v>30</v>
      </c>
      <c r="G115" s="26" t="s">
        <v>30</v>
      </c>
      <c r="J115" s="26" t="s">
        <v>31</v>
      </c>
      <c r="L115" s="26" t="s">
        <v>40</v>
      </c>
      <c r="N115" s="28">
        <v>45246</v>
      </c>
      <c r="O115" s="28">
        <v>45607</v>
      </c>
      <c r="P115" s="26">
        <v>48</v>
      </c>
      <c r="Q115" s="35" t="s">
        <v>49</v>
      </c>
      <c r="R115" s="29">
        <v>175000000</v>
      </c>
      <c r="S115" s="26"/>
      <c r="T115" s="29">
        <v>0</v>
      </c>
      <c r="U115" s="36">
        <v>0</v>
      </c>
      <c r="V115" s="26" t="s">
        <v>730</v>
      </c>
      <c r="W115" s="26" t="s">
        <v>919</v>
      </c>
      <c r="X115" s="26" t="s">
        <v>900</v>
      </c>
      <c r="Y115" s="26" t="s">
        <v>35</v>
      </c>
    </row>
    <row r="116" spans="1:26" x14ac:dyDescent="0.35">
      <c r="A116" s="26" t="s">
        <v>920</v>
      </c>
      <c r="B116" s="32" t="s">
        <v>921</v>
      </c>
      <c r="C116" s="26" t="s">
        <v>922</v>
      </c>
      <c r="D116" s="26" t="s">
        <v>923</v>
      </c>
      <c r="E116" s="26" t="s">
        <v>123</v>
      </c>
      <c r="F116" s="26" t="s">
        <v>30</v>
      </c>
      <c r="G116" s="26" t="s">
        <v>30</v>
      </c>
      <c r="J116" s="26" t="s">
        <v>31</v>
      </c>
      <c r="L116" s="26" t="s">
        <v>32</v>
      </c>
      <c r="N116" s="28">
        <v>45246</v>
      </c>
      <c r="O116" s="28">
        <v>45607</v>
      </c>
      <c r="P116" s="26">
        <v>48</v>
      </c>
      <c r="Q116" s="35" t="s">
        <v>49</v>
      </c>
      <c r="R116" s="29">
        <v>20000000</v>
      </c>
      <c r="S116" s="26"/>
      <c r="T116" s="29">
        <v>0</v>
      </c>
      <c r="U116" s="36">
        <v>0</v>
      </c>
      <c r="V116" s="26" t="s">
        <v>730</v>
      </c>
      <c r="W116" s="26" t="s">
        <v>924</v>
      </c>
      <c r="X116" s="26" t="s">
        <v>900</v>
      </c>
      <c r="Y116" s="26" t="s">
        <v>35</v>
      </c>
    </row>
    <row r="117" spans="1:26" x14ac:dyDescent="0.35">
      <c r="A117" s="26" t="s">
        <v>925</v>
      </c>
      <c r="B117" s="32" t="s">
        <v>926</v>
      </c>
      <c r="C117" s="26" t="s">
        <v>927</v>
      </c>
      <c r="D117" s="26" t="s">
        <v>909</v>
      </c>
      <c r="E117" s="26" t="s">
        <v>123</v>
      </c>
      <c r="F117" s="26" t="s">
        <v>30</v>
      </c>
      <c r="G117" s="26" t="s">
        <v>30</v>
      </c>
      <c r="J117" s="26" t="s">
        <v>31</v>
      </c>
      <c r="L117" s="26" t="s">
        <v>40</v>
      </c>
      <c r="N117" s="28">
        <v>45246</v>
      </c>
      <c r="O117" s="28">
        <v>45330</v>
      </c>
      <c r="P117" s="26">
        <v>13</v>
      </c>
      <c r="Q117" s="35" t="s">
        <v>49</v>
      </c>
      <c r="R117" s="29">
        <v>20000000</v>
      </c>
      <c r="S117" s="26"/>
      <c r="T117" s="29">
        <v>0</v>
      </c>
      <c r="U117" s="36">
        <v>0</v>
      </c>
      <c r="V117" s="26" t="s">
        <v>35</v>
      </c>
      <c r="W117" s="26" t="s">
        <v>910</v>
      </c>
      <c r="X117" s="26" t="s">
        <v>900</v>
      </c>
      <c r="Y117" s="26" t="s">
        <v>35</v>
      </c>
    </row>
    <row r="118" spans="1:26" x14ac:dyDescent="0.35">
      <c r="A118" s="26" t="s">
        <v>928</v>
      </c>
      <c r="B118" s="32" t="s">
        <v>929</v>
      </c>
      <c r="C118" s="26" t="s">
        <v>930</v>
      </c>
      <c r="D118" s="26" t="s">
        <v>847</v>
      </c>
      <c r="E118" s="26" t="s">
        <v>123</v>
      </c>
      <c r="F118" s="26" t="s">
        <v>30</v>
      </c>
      <c r="G118" s="26" t="s">
        <v>30</v>
      </c>
      <c r="J118" s="26" t="s">
        <v>31</v>
      </c>
      <c r="L118" s="26" t="s">
        <v>40</v>
      </c>
      <c r="N118" s="28">
        <v>45246</v>
      </c>
      <c r="O118" s="28">
        <v>45612</v>
      </c>
      <c r="P118" s="26">
        <v>48</v>
      </c>
      <c r="Q118" s="35" t="s">
        <v>49</v>
      </c>
      <c r="R118" s="29">
        <v>200000000</v>
      </c>
      <c r="S118" s="26"/>
      <c r="T118" s="29">
        <v>0</v>
      </c>
      <c r="U118" s="36">
        <v>0</v>
      </c>
      <c r="V118" s="26" t="s">
        <v>35</v>
      </c>
      <c r="W118" s="26" t="s">
        <v>910</v>
      </c>
      <c r="X118" s="26" t="s">
        <v>900</v>
      </c>
      <c r="Y118" s="26" t="s">
        <v>35</v>
      </c>
    </row>
    <row r="119" spans="1:26" x14ac:dyDescent="0.35">
      <c r="A119" s="26" t="s">
        <v>931</v>
      </c>
      <c r="B119" s="32" t="s">
        <v>932</v>
      </c>
      <c r="C119" s="26" t="s">
        <v>933</v>
      </c>
      <c r="D119" s="26" t="s">
        <v>847</v>
      </c>
      <c r="E119" s="26" t="s">
        <v>123</v>
      </c>
      <c r="F119" s="26" t="s">
        <v>30</v>
      </c>
      <c r="G119" s="26" t="s">
        <v>30</v>
      </c>
      <c r="J119" s="26" t="s">
        <v>31</v>
      </c>
      <c r="L119" s="26" t="s">
        <v>40</v>
      </c>
      <c r="N119" s="28">
        <v>45246</v>
      </c>
      <c r="O119" s="28">
        <v>45612</v>
      </c>
      <c r="P119" s="26">
        <v>48</v>
      </c>
      <c r="Q119" s="35" t="s">
        <v>49</v>
      </c>
      <c r="R119" s="29">
        <v>90000000</v>
      </c>
      <c r="S119" s="26"/>
      <c r="T119" s="29">
        <v>0</v>
      </c>
      <c r="U119" s="36">
        <v>0</v>
      </c>
      <c r="V119" s="26" t="s">
        <v>35</v>
      </c>
      <c r="W119" s="26" t="s">
        <v>910</v>
      </c>
      <c r="X119" s="26" t="s">
        <v>900</v>
      </c>
      <c r="Y119" s="26" t="s">
        <v>35</v>
      </c>
    </row>
    <row r="120" spans="1:26" x14ac:dyDescent="0.35">
      <c r="A120" s="26" t="s">
        <v>934</v>
      </c>
      <c r="B120" s="32" t="s">
        <v>935</v>
      </c>
      <c r="C120" s="26" t="s">
        <v>935</v>
      </c>
      <c r="D120" s="26" t="s">
        <v>28</v>
      </c>
      <c r="E120" s="26" t="s">
        <v>123</v>
      </c>
      <c r="F120" s="26" t="s">
        <v>30</v>
      </c>
      <c r="G120" s="26" t="s">
        <v>30</v>
      </c>
      <c r="J120" s="26" t="s">
        <v>31</v>
      </c>
      <c r="L120" s="26" t="s">
        <v>40</v>
      </c>
      <c r="N120" s="28">
        <v>45246</v>
      </c>
      <c r="O120" s="28">
        <v>45612</v>
      </c>
      <c r="P120" s="26">
        <v>48</v>
      </c>
      <c r="Q120" s="35" t="s">
        <v>49</v>
      </c>
      <c r="R120" s="29">
        <v>20000000</v>
      </c>
      <c r="S120" s="26"/>
      <c r="T120" s="29">
        <v>0</v>
      </c>
      <c r="U120" s="36">
        <v>0</v>
      </c>
      <c r="V120" s="26" t="s">
        <v>35</v>
      </c>
      <c r="W120" s="26" t="s">
        <v>910</v>
      </c>
      <c r="X120" s="26" t="s">
        <v>900</v>
      </c>
      <c r="Y120" s="26" t="s">
        <v>35</v>
      </c>
    </row>
    <row r="121" spans="1:26" ht="15.5" x14ac:dyDescent="0.35">
      <c r="A121" s="26" t="s">
        <v>122</v>
      </c>
      <c r="B121" s="32" t="s">
        <v>2593</v>
      </c>
      <c r="C121" s="32" t="s">
        <v>2594</v>
      </c>
      <c r="D121" s="26" t="s">
        <v>28</v>
      </c>
      <c r="E121" s="26" t="s">
        <v>123</v>
      </c>
      <c r="F121" s="26" t="s">
        <v>30</v>
      </c>
      <c r="G121" s="26" t="s">
        <v>30</v>
      </c>
      <c r="J121" s="26" t="s">
        <v>31</v>
      </c>
      <c r="L121" s="26" t="s">
        <v>40</v>
      </c>
      <c r="N121" s="28">
        <v>45314</v>
      </c>
      <c r="O121" s="28" t="s">
        <v>124</v>
      </c>
      <c r="P121" s="26">
        <v>52</v>
      </c>
      <c r="Q121" s="35" t="s">
        <v>34</v>
      </c>
      <c r="R121" s="29">
        <v>8873927392.5799999</v>
      </c>
      <c r="S121" s="26"/>
      <c r="T121" s="51">
        <v>5500000000</v>
      </c>
      <c r="U121" s="36">
        <v>0.4</v>
      </c>
      <c r="X121" s="26" t="s">
        <v>126</v>
      </c>
    </row>
    <row r="122" spans="1:26" x14ac:dyDescent="0.35">
      <c r="A122" s="26" t="s">
        <v>127</v>
      </c>
      <c r="B122" s="32" t="s">
        <v>128</v>
      </c>
      <c r="C122" s="26" t="s">
        <v>128</v>
      </c>
      <c r="D122" s="26" t="s">
        <v>28</v>
      </c>
      <c r="E122" s="26" t="s">
        <v>123</v>
      </c>
      <c r="F122" s="26" t="s">
        <v>30</v>
      </c>
      <c r="G122" s="26" t="s">
        <v>30</v>
      </c>
      <c r="J122" s="26" t="s">
        <v>31</v>
      </c>
      <c r="L122" s="26" t="s">
        <v>40</v>
      </c>
      <c r="N122" s="28">
        <v>45315</v>
      </c>
      <c r="O122" s="28" t="s">
        <v>129</v>
      </c>
      <c r="P122" s="26">
        <v>52</v>
      </c>
      <c r="Q122" s="35" t="s">
        <v>49</v>
      </c>
      <c r="R122" s="29">
        <v>300000000</v>
      </c>
      <c r="S122" s="26"/>
      <c r="T122" s="29">
        <v>0</v>
      </c>
      <c r="U122" s="36">
        <v>0</v>
      </c>
      <c r="X122" s="26" t="s">
        <v>126</v>
      </c>
    </row>
    <row r="123" spans="1:26" x14ac:dyDescent="0.35">
      <c r="A123" s="26" t="s">
        <v>130</v>
      </c>
      <c r="B123" s="32" t="s">
        <v>131</v>
      </c>
      <c r="C123" s="26" t="s">
        <v>131</v>
      </c>
      <c r="D123" s="26" t="s">
        <v>28</v>
      </c>
      <c r="E123" s="26" t="s">
        <v>123</v>
      </c>
      <c r="F123" s="26" t="s">
        <v>30</v>
      </c>
      <c r="G123" s="26" t="s">
        <v>30</v>
      </c>
      <c r="J123" s="26" t="s">
        <v>31</v>
      </c>
      <c r="L123" s="26" t="s">
        <v>40</v>
      </c>
      <c r="N123" s="28">
        <v>45316</v>
      </c>
      <c r="O123" s="28" t="s">
        <v>132</v>
      </c>
      <c r="P123" s="26">
        <v>52</v>
      </c>
      <c r="Q123" s="35" t="s">
        <v>49</v>
      </c>
      <c r="R123" s="29">
        <v>50000000</v>
      </c>
      <c r="S123" s="26"/>
      <c r="T123" s="29">
        <v>0</v>
      </c>
      <c r="U123" s="36">
        <v>0</v>
      </c>
      <c r="X123" s="26" t="s">
        <v>123</v>
      </c>
    </row>
    <row r="124" spans="1:26" x14ac:dyDescent="0.35">
      <c r="A124" s="26" t="s">
        <v>569</v>
      </c>
      <c r="B124" s="32" t="s">
        <v>570</v>
      </c>
      <c r="C124" s="26" t="s">
        <v>570</v>
      </c>
      <c r="D124" s="26" t="s">
        <v>117</v>
      </c>
      <c r="E124" s="26" t="s">
        <v>123</v>
      </c>
      <c r="F124" s="26" t="s">
        <v>30</v>
      </c>
      <c r="G124" s="26" t="s">
        <v>30</v>
      </c>
      <c r="J124" s="26" t="s">
        <v>31</v>
      </c>
      <c r="L124" s="26" t="s">
        <v>40</v>
      </c>
      <c r="N124" s="28">
        <v>45292</v>
      </c>
      <c r="O124" s="28">
        <v>45657</v>
      </c>
      <c r="P124" s="26">
        <v>52</v>
      </c>
      <c r="Q124" s="35" t="s">
        <v>49</v>
      </c>
      <c r="R124" s="29">
        <v>10000000</v>
      </c>
      <c r="S124" s="26"/>
      <c r="T124" s="29">
        <v>0</v>
      </c>
      <c r="U124" s="36">
        <v>0</v>
      </c>
      <c r="X124" s="26" t="s">
        <v>126</v>
      </c>
    </row>
    <row r="125" spans="1:26" x14ac:dyDescent="0.35">
      <c r="A125" s="26" t="s">
        <v>963</v>
      </c>
      <c r="B125" s="32" t="s">
        <v>964</v>
      </c>
      <c r="C125" s="26" t="s">
        <v>964</v>
      </c>
      <c r="D125" s="26" t="s">
        <v>847</v>
      </c>
      <c r="E125" s="26" t="s">
        <v>143</v>
      </c>
      <c r="F125" s="26" t="s">
        <v>30</v>
      </c>
      <c r="G125" s="26" t="s">
        <v>30</v>
      </c>
      <c r="J125" s="26" t="s">
        <v>31</v>
      </c>
      <c r="L125" s="26" t="s">
        <v>32</v>
      </c>
      <c r="N125" s="28">
        <v>45292</v>
      </c>
      <c r="O125" s="28">
        <v>45657</v>
      </c>
      <c r="P125" s="26">
        <v>52</v>
      </c>
      <c r="Q125" s="35" t="s">
        <v>49</v>
      </c>
      <c r="R125" s="29">
        <v>50518000</v>
      </c>
      <c r="S125" s="26"/>
      <c r="T125" s="29">
        <v>0</v>
      </c>
      <c r="U125" s="36">
        <v>0</v>
      </c>
      <c r="V125" s="26" t="s">
        <v>730</v>
      </c>
      <c r="W125" s="26" t="s">
        <v>965</v>
      </c>
      <c r="X125" s="26" t="s">
        <v>126</v>
      </c>
      <c r="Y125" s="26" t="s">
        <v>730</v>
      </c>
      <c r="Z125" s="26" t="s">
        <v>966</v>
      </c>
    </row>
    <row r="126" spans="1:26" x14ac:dyDescent="0.35">
      <c r="A126" s="26" t="s">
        <v>967</v>
      </c>
      <c r="B126" s="32" t="s">
        <v>968</v>
      </c>
      <c r="C126" s="26" t="s">
        <v>969</v>
      </c>
      <c r="D126" s="26" t="s">
        <v>734</v>
      </c>
      <c r="E126" s="26" t="s">
        <v>143</v>
      </c>
      <c r="F126" s="26" t="s">
        <v>30</v>
      </c>
      <c r="G126" s="26" t="s">
        <v>30</v>
      </c>
      <c r="J126" s="26" t="s">
        <v>146</v>
      </c>
      <c r="L126" s="26" t="s">
        <v>164</v>
      </c>
      <c r="N126" s="28">
        <v>45294</v>
      </c>
      <c r="O126" s="28">
        <v>45562</v>
      </c>
      <c r="P126" s="26">
        <v>36</v>
      </c>
      <c r="Q126" s="35" t="s">
        <v>49</v>
      </c>
      <c r="R126" s="29">
        <v>250000000</v>
      </c>
      <c r="S126" s="26"/>
      <c r="T126" s="29">
        <v>0</v>
      </c>
      <c r="U126" s="36">
        <v>0</v>
      </c>
      <c r="V126" s="26" t="s">
        <v>35</v>
      </c>
      <c r="X126" s="26" t="s">
        <v>126</v>
      </c>
      <c r="Y126" s="26" t="s">
        <v>730</v>
      </c>
      <c r="Z126" s="26" t="s">
        <v>970</v>
      </c>
    </row>
    <row r="127" spans="1:26" x14ac:dyDescent="0.35">
      <c r="A127" s="26" t="s">
        <v>971</v>
      </c>
      <c r="B127" s="32" t="s">
        <v>972</v>
      </c>
      <c r="C127" s="26" t="s">
        <v>973</v>
      </c>
      <c r="D127" s="26" t="s">
        <v>734</v>
      </c>
      <c r="E127" s="26" t="s">
        <v>143</v>
      </c>
      <c r="F127" s="26" t="s">
        <v>30</v>
      </c>
      <c r="G127" s="26" t="s">
        <v>30</v>
      </c>
      <c r="J127" s="26" t="s">
        <v>31</v>
      </c>
      <c r="L127" s="26" t="s">
        <v>32</v>
      </c>
      <c r="N127" s="28">
        <v>45292</v>
      </c>
      <c r="O127" s="28">
        <v>45657</v>
      </c>
      <c r="P127" s="26">
        <v>52</v>
      </c>
      <c r="Q127" s="35" t="s">
        <v>49</v>
      </c>
      <c r="R127" s="29">
        <v>20000000</v>
      </c>
      <c r="S127" s="26"/>
      <c r="T127" s="29">
        <v>0</v>
      </c>
      <c r="U127" s="36">
        <v>0</v>
      </c>
      <c r="V127" s="26" t="s">
        <v>35</v>
      </c>
      <c r="X127" s="26" t="s">
        <v>126</v>
      </c>
      <c r="Y127" s="26" t="s">
        <v>730</v>
      </c>
      <c r="Z127" s="26" t="s">
        <v>974</v>
      </c>
    </row>
    <row r="128" spans="1:26" x14ac:dyDescent="0.35">
      <c r="A128" s="26" t="s">
        <v>975</v>
      </c>
      <c r="B128" s="32" t="s">
        <v>976</v>
      </c>
      <c r="C128" s="26" t="s">
        <v>976</v>
      </c>
      <c r="D128" s="26" t="s">
        <v>734</v>
      </c>
      <c r="E128" s="26" t="s">
        <v>143</v>
      </c>
      <c r="F128" s="26" t="s">
        <v>30</v>
      </c>
      <c r="G128" s="26" t="s">
        <v>30</v>
      </c>
      <c r="J128" s="26" t="s">
        <v>31</v>
      </c>
      <c r="L128" s="26" t="s">
        <v>32</v>
      </c>
      <c r="N128" s="28">
        <v>45292</v>
      </c>
      <c r="O128" s="28">
        <v>45471</v>
      </c>
      <c r="P128" s="26">
        <v>24</v>
      </c>
      <c r="Q128" s="35" t="s">
        <v>49</v>
      </c>
      <c r="R128" s="29">
        <v>80895670</v>
      </c>
      <c r="S128" s="26"/>
      <c r="T128" s="29">
        <v>0</v>
      </c>
      <c r="U128" s="36">
        <v>0</v>
      </c>
      <c r="V128" s="26" t="s">
        <v>35</v>
      </c>
      <c r="X128" s="26" t="s">
        <v>126</v>
      </c>
      <c r="Y128" s="26" t="s">
        <v>35</v>
      </c>
      <c r="Z128" s="26" t="s">
        <v>974</v>
      </c>
    </row>
    <row r="129" spans="1:26" x14ac:dyDescent="0.35">
      <c r="A129" s="26" t="s">
        <v>141</v>
      </c>
      <c r="B129" s="32" t="s">
        <v>142</v>
      </c>
      <c r="C129" s="26" t="s">
        <v>142</v>
      </c>
      <c r="D129" s="26" t="s">
        <v>28</v>
      </c>
      <c r="E129" s="26" t="s">
        <v>143</v>
      </c>
      <c r="F129" s="26" t="s">
        <v>30</v>
      </c>
      <c r="G129" s="26" t="s">
        <v>30</v>
      </c>
      <c r="J129" s="26" t="s">
        <v>31</v>
      </c>
      <c r="L129" s="26" t="s">
        <v>32</v>
      </c>
      <c r="N129" s="28">
        <v>45292</v>
      </c>
      <c r="O129" s="28">
        <v>45657</v>
      </c>
      <c r="P129" s="26">
        <v>52</v>
      </c>
      <c r="Q129" s="35" t="s">
        <v>49</v>
      </c>
      <c r="R129" s="29">
        <v>45000000</v>
      </c>
      <c r="S129" s="26"/>
      <c r="T129" s="29">
        <v>0</v>
      </c>
      <c r="U129" s="36">
        <v>0</v>
      </c>
      <c r="X129" s="26" t="s">
        <v>126</v>
      </c>
    </row>
    <row r="130" spans="1:26" x14ac:dyDescent="0.35">
      <c r="A130" s="26" t="s">
        <v>144</v>
      </c>
      <c r="B130" s="32" t="s">
        <v>145</v>
      </c>
      <c r="C130" s="26" t="s">
        <v>145</v>
      </c>
      <c r="D130" s="26" t="s">
        <v>28</v>
      </c>
      <c r="E130" s="26" t="s">
        <v>143</v>
      </c>
      <c r="F130" s="26" t="s">
        <v>30</v>
      </c>
      <c r="G130" s="26" t="s">
        <v>30</v>
      </c>
      <c r="J130" s="26" t="s">
        <v>146</v>
      </c>
      <c r="L130" s="26" t="s">
        <v>32</v>
      </c>
      <c r="N130" s="28">
        <v>45292</v>
      </c>
      <c r="O130" s="28">
        <v>45562</v>
      </c>
      <c r="P130" s="26">
        <v>52</v>
      </c>
      <c r="Q130" s="35" t="s">
        <v>49</v>
      </c>
      <c r="R130" s="29">
        <v>50230500</v>
      </c>
      <c r="S130" s="26"/>
      <c r="T130" s="29">
        <v>0</v>
      </c>
      <c r="U130" s="36">
        <v>0</v>
      </c>
      <c r="X130" s="26" t="s">
        <v>126</v>
      </c>
    </row>
    <row r="131" spans="1:26" x14ac:dyDescent="0.35">
      <c r="A131" s="26" t="s">
        <v>147</v>
      </c>
      <c r="B131" s="32" t="s">
        <v>148</v>
      </c>
      <c r="C131" s="26" t="s">
        <v>148</v>
      </c>
      <c r="D131" s="26" t="s">
        <v>28</v>
      </c>
      <c r="E131" s="26" t="s">
        <v>143</v>
      </c>
      <c r="F131" s="26" t="s">
        <v>30</v>
      </c>
      <c r="G131" s="26" t="s">
        <v>30</v>
      </c>
      <c r="J131" s="26" t="s">
        <v>146</v>
      </c>
      <c r="L131" s="26" t="s">
        <v>32</v>
      </c>
      <c r="N131" s="28">
        <v>45292</v>
      </c>
      <c r="O131" s="28">
        <v>45657</v>
      </c>
      <c r="P131" s="26">
        <v>52</v>
      </c>
      <c r="Q131" s="35" t="s">
        <v>49</v>
      </c>
      <c r="R131" s="29">
        <v>150000000</v>
      </c>
      <c r="S131" s="26"/>
      <c r="T131" s="29">
        <v>0</v>
      </c>
      <c r="U131" s="36">
        <v>0</v>
      </c>
      <c r="X131" s="26" t="s">
        <v>126</v>
      </c>
    </row>
    <row r="132" spans="1:26" x14ac:dyDescent="0.35">
      <c r="A132" s="26" t="s">
        <v>149</v>
      </c>
      <c r="B132" s="32" t="s">
        <v>150</v>
      </c>
      <c r="C132" s="26" t="s">
        <v>150</v>
      </c>
      <c r="D132" s="26" t="s">
        <v>117</v>
      </c>
      <c r="E132" s="26" t="s">
        <v>143</v>
      </c>
      <c r="F132" s="26" t="s">
        <v>30</v>
      </c>
      <c r="G132" s="26" t="s">
        <v>30</v>
      </c>
      <c r="J132" s="26" t="s">
        <v>146</v>
      </c>
      <c r="L132" s="26" t="s">
        <v>32</v>
      </c>
      <c r="N132" s="28">
        <v>45292</v>
      </c>
      <c r="O132" s="28">
        <v>45471</v>
      </c>
      <c r="P132" s="26">
        <v>52</v>
      </c>
      <c r="Q132" s="35" t="s">
        <v>49</v>
      </c>
      <c r="R132" s="29">
        <v>30000000</v>
      </c>
      <c r="S132" s="26"/>
      <c r="T132" s="29">
        <v>0</v>
      </c>
      <c r="U132" s="36">
        <v>0</v>
      </c>
      <c r="X132" s="26" t="s">
        <v>126</v>
      </c>
    </row>
    <row r="133" spans="1:26" x14ac:dyDescent="0.35">
      <c r="A133" s="26" t="s">
        <v>151</v>
      </c>
      <c r="B133" s="32" t="s">
        <v>152</v>
      </c>
      <c r="C133" s="26" t="s">
        <v>152</v>
      </c>
      <c r="D133" s="26" t="s">
        <v>28</v>
      </c>
      <c r="E133" s="26" t="s">
        <v>143</v>
      </c>
      <c r="F133" s="26" t="s">
        <v>30</v>
      </c>
      <c r="G133" s="26" t="s">
        <v>30</v>
      </c>
      <c r="J133" s="26" t="s">
        <v>146</v>
      </c>
      <c r="L133" s="26" t="s">
        <v>32</v>
      </c>
      <c r="N133" s="28">
        <v>45292</v>
      </c>
      <c r="O133" s="28">
        <v>45562</v>
      </c>
      <c r="P133" s="26">
        <v>52</v>
      </c>
      <c r="Q133" s="35" t="s">
        <v>49</v>
      </c>
      <c r="R133" s="29">
        <v>150000000</v>
      </c>
      <c r="S133" s="26"/>
      <c r="T133" s="29">
        <v>0</v>
      </c>
      <c r="U133" s="36">
        <v>0</v>
      </c>
      <c r="X133" s="26" t="s">
        <v>126</v>
      </c>
    </row>
    <row r="134" spans="1:26" x14ac:dyDescent="0.35">
      <c r="A134" s="26" t="s">
        <v>153</v>
      </c>
      <c r="B134" s="32" t="s">
        <v>154</v>
      </c>
      <c r="C134" s="26" t="s">
        <v>154</v>
      </c>
      <c r="D134" s="26" t="s">
        <v>28</v>
      </c>
      <c r="E134" s="26" t="s">
        <v>143</v>
      </c>
      <c r="F134" s="26" t="s">
        <v>30</v>
      </c>
      <c r="G134" s="26" t="s">
        <v>30</v>
      </c>
      <c r="J134" s="26" t="s">
        <v>31</v>
      </c>
      <c r="L134" s="26" t="s">
        <v>40</v>
      </c>
      <c r="N134" s="28">
        <v>45292</v>
      </c>
      <c r="O134" s="28">
        <v>45657</v>
      </c>
      <c r="P134" s="26">
        <v>52</v>
      </c>
      <c r="Q134" s="35" t="s">
        <v>49</v>
      </c>
      <c r="R134" s="29">
        <v>15000000</v>
      </c>
      <c r="S134" s="26"/>
      <c r="T134" s="29">
        <v>0</v>
      </c>
      <c r="U134" s="36">
        <v>0</v>
      </c>
      <c r="X134" s="26" t="s">
        <v>126</v>
      </c>
    </row>
    <row r="135" spans="1:26" x14ac:dyDescent="0.35">
      <c r="A135" s="26" t="s">
        <v>155</v>
      </c>
      <c r="B135" s="32" t="s">
        <v>156</v>
      </c>
      <c r="C135" s="26" t="s">
        <v>156</v>
      </c>
      <c r="D135" s="26" t="s">
        <v>157</v>
      </c>
      <c r="E135" s="26" t="s">
        <v>143</v>
      </c>
      <c r="F135" s="26" t="s">
        <v>30</v>
      </c>
      <c r="G135" s="26" t="s">
        <v>30</v>
      </c>
      <c r="J135" s="26" t="s">
        <v>146</v>
      </c>
      <c r="L135" s="26" t="s">
        <v>32</v>
      </c>
      <c r="N135" s="28">
        <v>45292</v>
      </c>
      <c r="O135" s="28">
        <v>45471</v>
      </c>
      <c r="P135" s="26">
        <v>52</v>
      </c>
      <c r="Q135" s="35" t="s">
        <v>49</v>
      </c>
      <c r="R135" s="29">
        <v>350000000</v>
      </c>
      <c r="S135" s="26"/>
      <c r="T135" s="29">
        <v>0</v>
      </c>
      <c r="U135" s="36">
        <v>0</v>
      </c>
      <c r="X135" s="26" t="s">
        <v>126</v>
      </c>
    </row>
    <row r="136" spans="1:26" x14ac:dyDescent="0.35">
      <c r="A136" s="26" t="s">
        <v>158</v>
      </c>
      <c r="B136" s="32" t="s">
        <v>159</v>
      </c>
      <c r="C136" s="26" t="s">
        <v>159</v>
      </c>
      <c r="D136" s="26" t="s">
        <v>28</v>
      </c>
      <c r="E136" s="26" t="s">
        <v>143</v>
      </c>
      <c r="F136" s="26" t="s">
        <v>30</v>
      </c>
      <c r="G136" s="26" t="s">
        <v>30</v>
      </c>
      <c r="J136" s="26" t="s">
        <v>90</v>
      </c>
      <c r="L136" s="26" t="s">
        <v>91</v>
      </c>
      <c r="N136" s="28">
        <v>45292</v>
      </c>
      <c r="O136" s="28">
        <v>45657</v>
      </c>
      <c r="P136" s="26">
        <v>52</v>
      </c>
      <c r="Q136" s="35" t="s">
        <v>49</v>
      </c>
      <c r="R136" s="29">
        <v>50000000</v>
      </c>
      <c r="S136" s="26"/>
      <c r="T136" s="29">
        <v>0</v>
      </c>
      <c r="U136" s="36">
        <v>0</v>
      </c>
      <c r="X136" s="26" t="s">
        <v>126</v>
      </c>
    </row>
    <row r="137" spans="1:26" x14ac:dyDescent="0.35">
      <c r="A137" s="26" t="s">
        <v>1862</v>
      </c>
      <c r="B137" s="32" t="s">
        <v>1863</v>
      </c>
      <c r="C137" s="26" t="s">
        <v>1864</v>
      </c>
      <c r="D137" s="26" t="s">
        <v>28</v>
      </c>
      <c r="E137" s="26" t="s">
        <v>143</v>
      </c>
      <c r="F137" s="26" t="s">
        <v>30</v>
      </c>
      <c r="G137" s="26" t="s">
        <v>30</v>
      </c>
      <c r="J137" s="26" t="s">
        <v>31</v>
      </c>
      <c r="L137" s="26" t="s">
        <v>32</v>
      </c>
      <c r="N137" s="28">
        <v>45292</v>
      </c>
      <c r="O137" s="28" t="s">
        <v>701</v>
      </c>
      <c r="P137" s="26">
        <v>52</v>
      </c>
      <c r="Q137" s="35" t="s">
        <v>34</v>
      </c>
      <c r="R137" s="29">
        <v>50000000</v>
      </c>
      <c r="S137" s="26"/>
      <c r="T137" s="29">
        <v>24200000</v>
      </c>
      <c r="U137" s="36">
        <v>0.8</v>
      </c>
      <c r="X137" s="26" t="s">
        <v>126</v>
      </c>
      <c r="Z137" s="26" t="s">
        <v>974</v>
      </c>
    </row>
    <row r="138" spans="1:26" ht="29" x14ac:dyDescent="0.35">
      <c r="A138" s="26" t="s">
        <v>2614</v>
      </c>
      <c r="B138" s="32" t="s">
        <v>1866</v>
      </c>
      <c r="C138" s="26" t="s">
        <v>1867</v>
      </c>
      <c r="D138" s="26" t="s">
        <v>28</v>
      </c>
      <c r="E138" s="26" t="s">
        <v>143</v>
      </c>
      <c r="F138" s="26" t="s">
        <v>30</v>
      </c>
      <c r="G138" s="26" t="s">
        <v>30</v>
      </c>
      <c r="J138" s="26" t="s">
        <v>31</v>
      </c>
      <c r="L138" s="26" t="s">
        <v>32</v>
      </c>
      <c r="N138" s="28">
        <v>45292</v>
      </c>
      <c r="O138" s="28" t="s">
        <v>701</v>
      </c>
      <c r="P138" s="26">
        <v>52</v>
      </c>
      <c r="Q138" s="35" t="s">
        <v>34</v>
      </c>
      <c r="R138" s="29">
        <v>20000000</v>
      </c>
      <c r="S138" s="26"/>
      <c r="T138" s="29">
        <v>14000000</v>
      </c>
      <c r="U138" s="36">
        <v>0.7</v>
      </c>
      <c r="X138" s="26" t="s">
        <v>126</v>
      </c>
      <c r="Z138" s="26" t="s">
        <v>974</v>
      </c>
    </row>
    <row r="139" spans="1:26" x14ac:dyDescent="0.35">
      <c r="A139" s="26" t="s">
        <v>1865</v>
      </c>
      <c r="B139" s="32" t="s">
        <v>2009</v>
      </c>
      <c r="C139" s="32" t="s">
        <v>2388</v>
      </c>
      <c r="D139" s="26" t="s">
        <v>28</v>
      </c>
      <c r="E139" s="26" t="s">
        <v>143</v>
      </c>
      <c r="F139" s="26" t="s">
        <v>30</v>
      </c>
      <c r="G139" s="26" t="s">
        <v>30</v>
      </c>
      <c r="J139" s="26" t="s">
        <v>31</v>
      </c>
      <c r="L139" s="26" t="s">
        <v>32</v>
      </c>
      <c r="N139" s="28">
        <v>45292</v>
      </c>
      <c r="O139" s="28" t="s">
        <v>2010</v>
      </c>
      <c r="P139" s="26">
        <v>22</v>
      </c>
      <c r="Q139" s="35" t="s">
        <v>211</v>
      </c>
      <c r="R139" s="29">
        <v>24600000</v>
      </c>
      <c r="S139" s="33"/>
      <c r="T139" s="29">
        <v>24600000</v>
      </c>
      <c r="U139" s="36">
        <v>1</v>
      </c>
      <c r="X139" s="26" t="s">
        <v>126</v>
      </c>
      <c r="Z139" s="26" t="s">
        <v>974</v>
      </c>
    </row>
    <row r="140" spans="1:26" x14ac:dyDescent="0.35">
      <c r="A140" s="26" t="s">
        <v>2011</v>
      </c>
      <c r="B140" s="32" t="s">
        <v>2012</v>
      </c>
      <c r="C140" s="26" t="s">
        <v>2013</v>
      </c>
      <c r="D140" s="26" t="s">
        <v>28</v>
      </c>
      <c r="E140" s="26" t="s">
        <v>143</v>
      </c>
      <c r="F140" s="26" t="s">
        <v>30</v>
      </c>
      <c r="G140" s="26" t="s">
        <v>30</v>
      </c>
      <c r="J140" s="26" t="s">
        <v>31</v>
      </c>
      <c r="L140" s="26" t="s">
        <v>32</v>
      </c>
      <c r="N140" s="28">
        <v>45299</v>
      </c>
      <c r="O140" s="28" t="s">
        <v>2014</v>
      </c>
      <c r="P140" s="26">
        <v>4</v>
      </c>
      <c r="Q140" s="35" t="s">
        <v>211</v>
      </c>
      <c r="R140" s="29">
        <v>42500000</v>
      </c>
      <c r="S140" s="33"/>
      <c r="T140" s="29">
        <v>42500000</v>
      </c>
      <c r="U140" s="36">
        <v>1</v>
      </c>
      <c r="X140" s="26" t="s">
        <v>126</v>
      </c>
      <c r="Z140" s="26" t="s">
        <v>974</v>
      </c>
    </row>
    <row r="141" spans="1:26" x14ac:dyDescent="0.35">
      <c r="A141" s="26" t="s">
        <v>2015</v>
      </c>
      <c r="B141" s="32" t="s">
        <v>2016</v>
      </c>
      <c r="C141" s="26" t="s">
        <v>2017</v>
      </c>
      <c r="D141" s="26" t="s">
        <v>28</v>
      </c>
      <c r="E141" s="26" t="s">
        <v>143</v>
      </c>
      <c r="F141" s="26" t="s">
        <v>30</v>
      </c>
      <c r="G141" s="26" t="s">
        <v>30</v>
      </c>
      <c r="J141" s="26" t="s">
        <v>31</v>
      </c>
      <c r="L141" s="26" t="s">
        <v>32</v>
      </c>
      <c r="N141" s="28">
        <v>45301</v>
      </c>
      <c r="O141" s="28" t="s">
        <v>1796</v>
      </c>
      <c r="P141" s="26">
        <v>8</v>
      </c>
      <c r="Q141" s="35" t="s">
        <v>211</v>
      </c>
      <c r="R141" s="31">
        <v>248800000</v>
      </c>
      <c r="S141" s="33"/>
      <c r="T141" s="29">
        <v>248800000</v>
      </c>
      <c r="U141" s="36">
        <v>1</v>
      </c>
      <c r="X141" s="26" t="s">
        <v>126</v>
      </c>
      <c r="Z141" s="26" t="s">
        <v>974</v>
      </c>
    </row>
    <row r="142" spans="1:26" x14ac:dyDescent="0.35">
      <c r="A142" s="26" t="s">
        <v>2018</v>
      </c>
      <c r="B142" s="32" t="s">
        <v>2019</v>
      </c>
      <c r="C142" s="26" t="s">
        <v>2020</v>
      </c>
      <c r="D142" s="26" t="s">
        <v>28</v>
      </c>
      <c r="E142" s="26" t="s">
        <v>143</v>
      </c>
      <c r="F142" s="26" t="s">
        <v>30</v>
      </c>
      <c r="G142" s="26" t="s">
        <v>30</v>
      </c>
      <c r="J142" s="26" t="s">
        <v>31</v>
      </c>
      <c r="L142" s="26" t="s">
        <v>32</v>
      </c>
      <c r="N142" s="28">
        <v>45299</v>
      </c>
      <c r="O142" s="28" t="s">
        <v>2014</v>
      </c>
      <c r="P142" s="26">
        <v>4</v>
      </c>
      <c r="Q142" s="35" t="s">
        <v>211</v>
      </c>
      <c r="R142" s="31">
        <v>81200000</v>
      </c>
      <c r="S142" s="33"/>
      <c r="T142" s="29">
        <v>81200000</v>
      </c>
      <c r="U142" s="36">
        <v>1</v>
      </c>
      <c r="X142" s="26" t="s">
        <v>126</v>
      </c>
      <c r="Z142" s="26" t="s">
        <v>974</v>
      </c>
    </row>
    <row r="143" spans="1:26" x14ac:dyDescent="0.35">
      <c r="A143" s="26" t="s">
        <v>2021</v>
      </c>
      <c r="B143" s="32" t="s">
        <v>2022</v>
      </c>
      <c r="C143" s="26" t="s">
        <v>2023</v>
      </c>
      <c r="D143" s="26" t="s">
        <v>28</v>
      </c>
      <c r="E143" s="26" t="s">
        <v>143</v>
      </c>
      <c r="F143" s="26" t="s">
        <v>30</v>
      </c>
      <c r="G143" s="26" t="s">
        <v>30</v>
      </c>
      <c r="J143" s="26" t="s">
        <v>31</v>
      </c>
      <c r="L143" s="26" t="s">
        <v>32</v>
      </c>
      <c r="N143" s="28">
        <v>45297</v>
      </c>
      <c r="O143" s="28" t="s">
        <v>2010</v>
      </c>
      <c r="P143" s="26">
        <v>4</v>
      </c>
      <c r="Q143" s="35" t="s">
        <v>211</v>
      </c>
      <c r="R143" s="29">
        <v>3700000</v>
      </c>
      <c r="S143" s="33"/>
      <c r="T143" s="29">
        <v>3700000</v>
      </c>
      <c r="U143" s="36">
        <v>1</v>
      </c>
      <c r="X143" s="26" t="s">
        <v>126</v>
      </c>
      <c r="Z143" s="26" t="s">
        <v>974</v>
      </c>
    </row>
    <row r="144" spans="1:26" x14ac:dyDescent="0.35">
      <c r="A144" s="26" t="s">
        <v>2024</v>
      </c>
      <c r="B144" s="32" t="s">
        <v>2025</v>
      </c>
      <c r="C144" s="26" t="s">
        <v>2026</v>
      </c>
      <c r="D144" s="26" t="s">
        <v>28</v>
      </c>
      <c r="E144" s="26" t="s">
        <v>143</v>
      </c>
      <c r="F144" s="26" t="s">
        <v>30</v>
      </c>
      <c r="G144" s="26" t="s">
        <v>30</v>
      </c>
      <c r="J144" s="26" t="s">
        <v>31</v>
      </c>
      <c r="L144" s="26" t="s">
        <v>32</v>
      </c>
      <c r="N144" s="28">
        <v>45299</v>
      </c>
      <c r="O144" s="28" t="s">
        <v>2014</v>
      </c>
      <c r="P144" s="26">
        <v>4</v>
      </c>
      <c r="Q144" s="35" t="s">
        <v>211</v>
      </c>
      <c r="R144" s="29">
        <v>36340000</v>
      </c>
      <c r="S144" s="33"/>
      <c r="T144" s="29">
        <v>36340000</v>
      </c>
      <c r="U144" s="36">
        <v>1</v>
      </c>
      <c r="X144" s="26" t="s">
        <v>126</v>
      </c>
      <c r="Z144" s="26" t="s">
        <v>974</v>
      </c>
    </row>
    <row r="145" spans="1:26" x14ac:dyDescent="0.35">
      <c r="A145" s="26" t="s">
        <v>2027</v>
      </c>
      <c r="B145" s="32" t="s">
        <v>2028</v>
      </c>
      <c r="C145" s="26" t="s">
        <v>2029</v>
      </c>
      <c r="D145" s="26" t="s">
        <v>117</v>
      </c>
      <c r="E145" s="26" t="s">
        <v>143</v>
      </c>
      <c r="F145" s="26" t="s">
        <v>30</v>
      </c>
      <c r="G145" s="26" t="s">
        <v>30</v>
      </c>
      <c r="J145" s="26" t="s">
        <v>31</v>
      </c>
      <c r="L145" s="26" t="s">
        <v>32</v>
      </c>
      <c r="N145" s="28">
        <v>45300</v>
      </c>
      <c r="O145" s="28" t="s">
        <v>2030</v>
      </c>
      <c r="P145" s="26">
        <v>4</v>
      </c>
      <c r="Q145" s="35" t="s">
        <v>211</v>
      </c>
      <c r="R145" s="29">
        <v>19200000</v>
      </c>
      <c r="S145" s="33"/>
      <c r="T145" s="29">
        <v>19200000</v>
      </c>
      <c r="U145" s="36">
        <v>1</v>
      </c>
      <c r="X145" s="26" t="s">
        <v>126</v>
      </c>
      <c r="Z145" s="26" t="s">
        <v>974</v>
      </c>
    </row>
    <row r="146" spans="1:26" x14ac:dyDescent="0.35">
      <c r="A146" s="26" t="s">
        <v>2031</v>
      </c>
      <c r="B146" s="32" t="s">
        <v>2032</v>
      </c>
      <c r="C146" s="26" t="s">
        <v>2033</v>
      </c>
      <c r="D146" s="26" t="s">
        <v>28</v>
      </c>
      <c r="E146" s="26" t="s">
        <v>143</v>
      </c>
      <c r="F146" s="26" t="s">
        <v>30</v>
      </c>
      <c r="G146" s="26" t="s">
        <v>30</v>
      </c>
      <c r="J146" s="26" t="s">
        <v>31</v>
      </c>
      <c r="L146" s="26" t="s">
        <v>32</v>
      </c>
      <c r="N146" s="28">
        <v>45292</v>
      </c>
      <c r="O146" s="28" t="s">
        <v>2034</v>
      </c>
      <c r="P146" s="26">
        <v>4</v>
      </c>
      <c r="Q146" s="35" t="s">
        <v>211</v>
      </c>
      <c r="R146" s="29">
        <v>4250000</v>
      </c>
      <c r="S146" s="33"/>
      <c r="T146" s="29">
        <v>4250000</v>
      </c>
      <c r="U146" s="36">
        <v>1</v>
      </c>
      <c r="X146" s="26" t="s">
        <v>126</v>
      </c>
      <c r="Z146" s="26" t="s">
        <v>974</v>
      </c>
    </row>
    <row r="147" spans="1:26" x14ac:dyDescent="0.35">
      <c r="A147" s="26" t="s">
        <v>2035</v>
      </c>
      <c r="B147" s="32" t="s">
        <v>2036</v>
      </c>
      <c r="C147" s="26" t="s">
        <v>2037</v>
      </c>
      <c r="D147" s="26" t="s">
        <v>28</v>
      </c>
      <c r="E147" s="26" t="s">
        <v>143</v>
      </c>
      <c r="F147" s="26" t="s">
        <v>30</v>
      </c>
      <c r="G147" s="26" t="s">
        <v>30</v>
      </c>
      <c r="J147" s="26" t="s">
        <v>31</v>
      </c>
      <c r="L147" s="26" t="s">
        <v>32</v>
      </c>
      <c r="N147" s="28">
        <v>45301</v>
      </c>
      <c r="O147" s="28" t="s">
        <v>2038</v>
      </c>
      <c r="P147" s="26">
        <v>4</v>
      </c>
      <c r="Q147" s="35" t="s">
        <v>211</v>
      </c>
      <c r="R147" s="31">
        <v>19000000</v>
      </c>
      <c r="S147" s="33"/>
      <c r="T147" s="29">
        <v>19000000</v>
      </c>
      <c r="U147" s="36">
        <v>1</v>
      </c>
      <c r="X147" s="26" t="s">
        <v>126</v>
      </c>
      <c r="Z147" s="26" t="s">
        <v>974</v>
      </c>
    </row>
    <row r="148" spans="1:26" x14ac:dyDescent="0.35">
      <c r="A148" s="26" t="s">
        <v>2419</v>
      </c>
      <c r="B148" s="32" t="s">
        <v>2389</v>
      </c>
      <c r="C148" s="26" t="s">
        <v>2390</v>
      </c>
      <c r="D148" s="26" t="s">
        <v>909</v>
      </c>
      <c r="E148" s="26" t="s">
        <v>143</v>
      </c>
      <c r="F148" s="26" t="s">
        <v>30</v>
      </c>
      <c r="G148" s="26" t="s">
        <v>30</v>
      </c>
      <c r="J148" s="26" t="s">
        <v>31</v>
      </c>
      <c r="L148" s="26" t="s">
        <v>32</v>
      </c>
      <c r="N148" s="28">
        <v>45293</v>
      </c>
      <c r="O148" s="28" t="s">
        <v>1828</v>
      </c>
      <c r="P148" s="26">
        <v>4</v>
      </c>
      <c r="Q148" s="35" t="s">
        <v>211</v>
      </c>
      <c r="R148" s="29">
        <v>4000000</v>
      </c>
      <c r="S148" s="33"/>
      <c r="T148" s="29">
        <v>4000000</v>
      </c>
      <c r="U148" s="36">
        <v>1</v>
      </c>
      <c r="X148" s="26" t="s">
        <v>126</v>
      </c>
    </row>
    <row r="149" spans="1:26" x14ac:dyDescent="0.35">
      <c r="A149" s="26" t="s">
        <v>2420</v>
      </c>
      <c r="B149" s="32" t="s">
        <v>2393</v>
      </c>
      <c r="C149" s="26" t="s">
        <v>2391</v>
      </c>
      <c r="D149" s="26" t="s">
        <v>28</v>
      </c>
      <c r="E149" s="26" t="s">
        <v>143</v>
      </c>
      <c r="F149" s="26" t="s">
        <v>30</v>
      </c>
      <c r="G149" s="26" t="s">
        <v>30</v>
      </c>
      <c r="J149" s="26" t="s">
        <v>31</v>
      </c>
      <c r="L149" s="26" t="s">
        <v>32</v>
      </c>
      <c r="N149" s="28">
        <v>44937</v>
      </c>
      <c r="O149" s="28" t="s">
        <v>2392</v>
      </c>
      <c r="P149" s="26">
        <v>4</v>
      </c>
      <c r="Q149" s="35" t="s">
        <v>211</v>
      </c>
      <c r="R149" s="29">
        <v>5000000</v>
      </c>
      <c r="S149" s="33"/>
      <c r="T149" s="29">
        <v>5000000</v>
      </c>
      <c r="U149" s="36">
        <v>1</v>
      </c>
      <c r="X149" s="26" t="s">
        <v>126</v>
      </c>
    </row>
    <row r="150" spans="1:26" x14ac:dyDescent="0.35">
      <c r="A150" s="26" t="s">
        <v>2421</v>
      </c>
      <c r="B150" s="32" t="s">
        <v>2394</v>
      </c>
      <c r="C150" s="26" t="s">
        <v>2395</v>
      </c>
      <c r="D150" s="26" t="s">
        <v>28</v>
      </c>
      <c r="E150" s="26" t="s">
        <v>143</v>
      </c>
      <c r="F150" s="26" t="s">
        <v>30</v>
      </c>
      <c r="G150" s="26" t="s">
        <v>30</v>
      </c>
      <c r="J150" s="26" t="s">
        <v>31</v>
      </c>
      <c r="L150" s="26" t="s">
        <v>32</v>
      </c>
      <c r="N150" s="28">
        <v>45299</v>
      </c>
      <c r="O150" s="28" t="s">
        <v>2396</v>
      </c>
      <c r="P150" s="26">
        <v>4</v>
      </c>
      <c r="Q150" s="35" t="s">
        <v>211</v>
      </c>
      <c r="R150" s="29">
        <v>20000000</v>
      </c>
      <c r="S150" s="33"/>
      <c r="T150" s="29">
        <v>20000000</v>
      </c>
      <c r="U150" s="36">
        <v>1</v>
      </c>
      <c r="X150" s="26" t="s">
        <v>126</v>
      </c>
    </row>
    <row r="151" spans="1:26" x14ac:dyDescent="0.35">
      <c r="A151" s="26" t="s">
        <v>2422</v>
      </c>
      <c r="B151" s="32" t="s">
        <v>2397</v>
      </c>
      <c r="C151" s="26" t="s">
        <v>2391</v>
      </c>
      <c r="D151" s="26" t="s">
        <v>28</v>
      </c>
      <c r="E151" s="26" t="s">
        <v>143</v>
      </c>
      <c r="F151" s="26" t="s">
        <v>30</v>
      </c>
      <c r="G151" s="26" t="s">
        <v>30</v>
      </c>
      <c r="J151" s="26" t="s">
        <v>31</v>
      </c>
      <c r="L151" s="26" t="s">
        <v>32</v>
      </c>
      <c r="N151" s="28">
        <v>45303</v>
      </c>
      <c r="O151" s="28" t="s">
        <v>33</v>
      </c>
      <c r="P151" s="26">
        <v>4</v>
      </c>
      <c r="Q151" s="35" t="s">
        <v>211</v>
      </c>
      <c r="R151" s="29">
        <v>26000000</v>
      </c>
      <c r="S151" s="33"/>
      <c r="T151" s="29">
        <v>26000000</v>
      </c>
      <c r="U151" s="36">
        <v>1</v>
      </c>
      <c r="X151" s="26" t="s">
        <v>126</v>
      </c>
    </row>
    <row r="152" spans="1:26" x14ac:dyDescent="0.35">
      <c r="A152" s="26" t="s">
        <v>2423</v>
      </c>
      <c r="B152" s="32" t="s">
        <v>2398</v>
      </c>
      <c r="C152" s="26" t="s">
        <v>2399</v>
      </c>
      <c r="D152" s="26" t="s">
        <v>28</v>
      </c>
      <c r="E152" s="26" t="s">
        <v>143</v>
      </c>
      <c r="F152" s="26" t="s">
        <v>30</v>
      </c>
      <c r="G152" s="26" t="s">
        <v>30</v>
      </c>
      <c r="J152" s="26" t="s">
        <v>31</v>
      </c>
      <c r="L152" s="26" t="s">
        <v>32</v>
      </c>
      <c r="N152" s="28">
        <v>45665</v>
      </c>
      <c r="O152" s="28" t="s">
        <v>2400</v>
      </c>
      <c r="P152" s="26">
        <v>4</v>
      </c>
      <c r="Q152" s="35" t="s">
        <v>211</v>
      </c>
      <c r="R152" s="29">
        <v>26000000</v>
      </c>
      <c r="S152" s="33"/>
      <c r="T152" s="29">
        <v>2600000</v>
      </c>
      <c r="U152" s="36">
        <v>1</v>
      </c>
      <c r="X152" s="26" t="s">
        <v>126</v>
      </c>
    </row>
    <row r="153" spans="1:26" x14ac:dyDescent="0.35">
      <c r="A153" s="26" t="s">
        <v>2424</v>
      </c>
      <c r="B153" s="32" t="s">
        <v>2401</v>
      </c>
      <c r="C153" s="26" t="s">
        <v>2402</v>
      </c>
      <c r="D153" s="26" t="s">
        <v>28</v>
      </c>
      <c r="E153" s="26" t="s">
        <v>143</v>
      </c>
      <c r="F153" s="26" t="s">
        <v>30</v>
      </c>
      <c r="G153" s="26" t="s">
        <v>30</v>
      </c>
      <c r="J153" s="26" t="s">
        <v>31</v>
      </c>
      <c r="L153" s="26" t="s">
        <v>32</v>
      </c>
      <c r="N153" s="28">
        <v>45668</v>
      </c>
      <c r="O153" s="28" t="s">
        <v>2403</v>
      </c>
      <c r="P153" s="26">
        <v>4</v>
      </c>
      <c r="Q153" s="35" t="s">
        <v>211</v>
      </c>
      <c r="R153" s="29">
        <v>80000000</v>
      </c>
      <c r="S153" s="33"/>
      <c r="T153" s="29">
        <v>80000000</v>
      </c>
      <c r="U153" s="36">
        <v>1</v>
      </c>
      <c r="X153" s="26" t="s">
        <v>126</v>
      </c>
    </row>
    <row r="154" spans="1:26" x14ac:dyDescent="0.35">
      <c r="A154" s="26" t="s">
        <v>2425</v>
      </c>
      <c r="B154" s="32" t="s">
        <v>2404</v>
      </c>
      <c r="C154" s="26" t="s">
        <v>2405</v>
      </c>
      <c r="D154" s="26" t="s">
        <v>229</v>
      </c>
      <c r="E154" s="26" t="s">
        <v>143</v>
      </c>
      <c r="F154" s="26" t="s">
        <v>30</v>
      </c>
      <c r="G154" s="26" t="s">
        <v>30</v>
      </c>
      <c r="J154" s="26" t="s">
        <v>31</v>
      </c>
      <c r="L154" s="26" t="s">
        <v>32</v>
      </c>
      <c r="N154" s="28">
        <v>45661</v>
      </c>
      <c r="O154" s="28" t="s">
        <v>2406</v>
      </c>
      <c r="P154" s="26">
        <v>4</v>
      </c>
      <c r="Q154" s="35" t="s">
        <v>211</v>
      </c>
      <c r="R154" s="29">
        <v>48000000</v>
      </c>
      <c r="S154" s="33"/>
      <c r="T154" s="29">
        <v>48000000</v>
      </c>
      <c r="U154" s="36">
        <v>1</v>
      </c>
      <c r="X154" s="26" t="s">
        <v>126</v>
      </c>
    </row>
    <row r="155" spans="1:26" x14ac:dyDescent="0.35">
      <c r="A155" s="26" t="s">
        <v>2426</v>
      </c>
      <c r="B155" s="32" t="s">
        <v>2407</v>
      </c>
      <c r="C155" s="26" t="s">
        <v>2408</v>
      </c>
      <c r="D155" s="26" t="s">
        <v>909</v>
      </c>
      <c r="E155" s="26" t="s">
        <v>143</v>
      </c>
      <c r="F155" s="26" t="s">
        <v>30</v>
      </c>
      <c r="G155" s="26" t="s">
        <v>30</v>
      </c>
      <c r="J155" s="26" t="s">
        <v>31</v>
      </c>
      <c r="L155" s="26" t="s">
        <v>32</v>
      </c>
      <c r="N155" s="28">
        <v>45663</v>
      </c>
      <c r="O155" s="28" t="s">
        <v>1778</v>
      </c>
      <c r="P155" s="26">
        <v>4</v>
      </c>
      <c r="Q155" s="35" t="s">
        <v>211</v>
      </c>
      <c r="R155" s="29">
        <v>25500000</v>
      </c>
      <c r="S155" s="33"/>
      <c r="T155" s="29">
        <v>25500000</v>
      </c>
      <c r="U155" s="36">
        <v>1</v>
      </c>
      <c r="X155" s="26" t="s">
        <v>126</v>
      </c>
    </row>
    <row r="156" spans="1:26" x14ac:dyDescent="0.35">
      <c r="A156" s="26" t="s">
        <v>2427</v>
      </c>
      <c r="B156" s="32" t="s">
        <v>2409</v>
      </c>
      <c r="C156" s="26" t="s">
        <v>2410</v>
      </c>
      <c r="D156" s="26" t="s">
        <v>909</v>
      </c>
      <c r="E156" s="26" t="s">
        <v>143</v>
      </c>
      <c r="F156" s="26" t="s">
        <v>30</v>
      </c>
      <c r="G156" s="26" t="s">
        <v>30</v>
      </c>
      <c r="J156" s="26" t="s">
        <v>31</v>
      </c>
      <c r="L156" s="26" t="s">
        <v>32</v>
      </c>
      <c r="N156" s="28">
        <v>45665</v>
      </c>
      <c r="O156" s="28" t="s">
        <v>2400</v>
      </c>
      <c r="P156" s="26">
        <v>4</v>
      </c>
      <c r="Q156" s="35" t="s">
        <v>211</v>
      </c>
      <c r="R156" s="29">
        <v>98000000</v>
      </c>
      <c r="S156" s="33"/>
      <c r="T156" s="29">
        <v>98000000</v>
      </c>
      <c r="U156" s="36">
        <v>1</v>
      </c>
      <c r="X156" s="26" t="s">
        <v>126</v>
      </c>
    </row>
    <row r="157" spans="1:26" x14ac:dyDescent="0.35">
      <c r="A157" s="26" t="s">
        <v>2428</v>
      </c>
      <c r="B157" s="32" t="s">
        <v>2411</v>
      </c>
      <c r="C157" s="26" t="s">
        <v>2412</v>
      </c>
      <c r="D157" s="26" t="s">
        <v>28</v>
      </c>
      <c r="E157" s="26" t="s">
        <v>143</v>
      </c>
      <c r="F157" s="26" t="s">
        <v>30</v>
      </c>
      <c r="G157" s="26" t="s">
        <v>30</v>
      </c>
      <c r="J157" s="26" t="s">
        <v>31</v>
      </c>
      <c r="L157" s="26" t="s">
        <v>32</v>
      </c>
      <c r="N157" s="28">
        <v>46028</v>
      </c>
      <c r="O157" s="28" t="s">
        <v>2413</v>
      </c>
      <c r="P157" s="26">
        <v>4</v>
      </c>
      <c r="Q157" s="35" t="s">
        <v>211</v>
      </c>
      <c r="R157" s="29">
        <v>90000000</v>
      </c>
      <c r="S157" s="33"/>
      <c r="T157" s="29">
        <v>90000000</v>
      </c>
      <c r="U157" s="36">
        <v>1</v>
      </c>
      <c r="X157" s="26" t="s">
        <v>126</v>
      </c>
    </row>
    <row r="158" spans="1:26" x14ac:dyDescent="0.35">
      <c r="A158" s="26" t="s">
        <v>2429</v>
      </c>
      <c r="B158" s="32" t="s">
        <v>2414</v>
      </c>
      <c r="C158" s="26" t="s">
        <v>2415</v>
      </c>
      <c r="D158" s="26" t="s">
        <v>77</v>
      </c>
      <c r="E158" s="26" t="s">
        <v>143</v>
      </c>
      <c r="F158" s="26" t="s">
        <v>30</v>
      </c>
      <c r="G158" s="26" t="s">
        <v>30</v>
      </c>
      <c r="J158" s="26" t="s">
        <v>31</v>
      </c>
      <c r="L158" s="26" t="s">
        <v>32</v>
      </c>
      <c r="N158" s="28">
        <v>46030</v>
      </c>
      <c r="O158" s="28" t="s">
        <v>2416</v>
      </c>
      <c r="P158" s="26">
        <v>8</v>
      </c>
      <c r="Q158" s="35" t="s">
        <v>34</v>
      </c>
      <c r="R158" s="29">
        <v>60000000</v>
      </c>
      <c r="S158" s="33"/>
      <c r="T158" s="29">
        <v>60000000</v>
      </c>
      <c r="U158" s="36">
        <v>1</v>
      </c>
      <c r="X158" s="26" t="s">
        <v>126</v>
      </c>
    </row>
    <row r="159" spans="1:26" x14ac:dyDescent="0.35">
      <c r="A159" s="26" t="s">
        <v>2430</v>
      </c>
      <c r="B159" s="32" t="s">
        <v>2417</v>
      </c>
      <c r="C159" s="26" t="s">
        <v>2418</v>
      </c>
      <c r="D159" s="26" t="s">
        <v>28</v>
      </c>
      <c r="E159" s="26" t="s">
        <v>143</v>
      </c>
      <c r="F159" s="26" t="s">
        <v>30</v>
      </c>
      <c r="G159" s="26" t="s">
        <v>30</v>
      </c>
      <c r="J159" s="26" t="s">
        <v>31</v>
      </c>
      <c r="L159" s="26" t="s">
        <v>32</v>
      </c>
      <c r="N159" s="28">
        <v>46030</v>
      </c>
      <c r="O159" s="28" t="s">
        <v>2416</v>
      </c>
      <c r="P159" s="26">
        <v>8</v>
      </c>
      <c r="Q159" s="35" t="s">
        <v>34</v>
      </c>
      <c r="R159" s="29">
        <v>80000000</v>
      </c>
      <c r="S159" s="33"/>
      <c r="T159" s="29">
        <v>80000000</v>
      </c>
      <c r="U159" s="36">
        <v>1</v>
      </c>
      <c r="X159" s="26" t="s">
        <v>126</v>
      </c>
    </row>
    <row r="160" spans="1:26" x14ac:dyDescent="0.35">
      <c r="A160" s="26" t="s">
        <v>727</v>
      </c>
      <c r="B160" s="32" t="s">
        <v>728</v>
      </c>
      <c r="C160" s="26" t="s">
        <v>728</v>
      </c>
      <c r="D160" s="26" t="s">
        <v>729</v>
      </c>
      <c r="E160" s="26" t="s">
        <v>573</v>
      </c>
      <c r="F160" s="26" t="s">
        <v>30</v>
      </c>
      <c r="G160" s="26" t="s">
        <v>30</v>
      </c>
      <c r="J160" s="26" t="s">
        <v>31</v>
      </c>
      <c r="L160" s="26" t="s">
        <v>575</v>
      </c>
      <c r="N160" s="28">
        <v>45293</v>
      </c>
      <c r="O160" s="28">
        <v>45636</v>
      </c>
      <c r="P160" s="26">
        <v>52</v>
      </c>
      <c r="Q160" s="35" t="s">
        <v>49</v>
      </c>
      <c r="R160" s="29">
        <v>500000000</v>
      </c>
      <c r="S160" s="26"/>
      <c r="T160" s="29">
        <v>0</v>
      </c>
      <c r="U160" s="36">
        <v>0</v>
      </c>
      <c r="X160" s="26" t="s">
        <v>100</v>
      </c>
      <c r="Y160" s="26" t="s">
        <v>730</v>
      </c>
      <c r="Z160" s="26" t="s">
        <v>731</v>
      </c>
    </row>
    <row r="161" spans="1:25" x14ac:dyDescent="0.35">
      <c r="A161" s="26" t="s">
        <v>732</v>
      </c>
      <c r="B161" s="32" t="s">
        <v>733</v>
      </c>
      <c r="C161" s="26" t="s">
        <v>733</v>
      </c>
      <c r="D161" s="26" t="s">
        <v>734</v>
      </c>
      <c r="E161" s="26" t="s">
        <v>573</v>
      </c>
      <c r="F161" s="26" t="s">
        <v>30</v>
      </c>
      <c r="G161" s="26" t="s">
        <v>30</v>
      </c>
      <c r="J161" s="26" t="s">
        <v>31</v>
      </c>
      <c r="L161" s="26" t="s">
        <v>349</v>
      </c>
      <c r="N161" s="28">
        <v>45385</v>
      </c>
      <c r="O161" s="28">
        <v>45644</v>
      </c>
      <c r="P161" s="26">
        <v>52</v>
      </c>
      <c r="Q161" s="35" t="s">
        <v>49</v>
      </c>
      <c r="R161" s="29">
        <v>246000000</v>
      </c>
      <c r="S161" s="26"/>
      <c r="T161" s="29">
        <v>0</v>
      </c>
      <c r="U161" s="36">
        <v>0</v>
      </c>
      <c r="X161" s="26" t="s">
        <v>100</v>
      </c>
      <c r="Y161" s="26" t="s">
        <v>35</v>
      </c>
    </row>
    <row r="162" spans="1:25" x14ac:dyDescent="0.35">
      <c r="A162" s="26" t="s">
        <v>735</v>
      </c>
      <c r="B162" s="32" t="s">
        <v>736</v>
      </c>
      <c r="C162" s="26" t="s">
        <v>736</v>
      </c>
      <c r="D162" s="26" t="s">
        <v>28</v>
      </c>
      <c r="E162" s="26" t="s">
        <v>573</v>
      </c>
      <c r="F162" s="26" t="s">
        <v>30</v>
      </c>
      <c r="G162" s="26" t="s">
        <v>30</v>
      </c>
      <c r="J162" s="26" t="s">
        <v>194</v>
      </c>
      <c r="L162" s="26" t="s">
        <v>575</v>
      </c>
      <c r="N162" s="28">
        <v>45259</v>
      </c>
      <c r="O162" s="28">
        <v>45655</v>
      </c>
      <c r="P162" s="26">
        <v>52</v>
      </c>
      <c r="Q162" s="35" t="s">
        <v>737</v>
      </c>
      <c r="R162" s="29">
        <v>149500000</v>
      </c>
      <c r="S162" s="26"/>
      <c r="T162" s="29">
        <v>0</v>
      </c>
      <c r="U162" s="36">
        <v>0</v>
      </c>
      <c r="X162" s="26" t="s">
        <v>100</v>
      </c>
    </row>
    <row r="163" spans="1:25" x14ac:dyDescent="0.35">
      <c r="A163" s="26" t="s">
        <v>738</v>
      </c>
      <c r="B163" s="32" t="s">
        <v>739</v>
      </c>
      <c r="C163" s="26" t="s">
        <v>739</v>
      </c>
      <c r="D163" s="26" t="s">
        <v>28</v>
      </c>
      <c r="E163" s="26" t="s">
        <v>573</v>
      </c>
      <c r="F163" s="26" t="s">
        <v>30</v>
      </c>
      <c r="G163" s="26" t="s">
        <v>30</v>
      </c>
      <c r="J163" s="26" t="s">
        <v>574</v>
      </c>
      <c r="L163" s="26" t="s">
        <v>575</v>
      </c>
      <c r="N163" s="28">
        <v>45227</v>
      </c>
      <c r="O163" s="28">
        <v>45622</v>
      </c>
      <c r="P163" s="26">
        <v>52</v>
      </c>
      <c r="Q163" s="35" t="s">
        <v>737</v>
      </c>
      <c r="R163" s="29">
        <v>30000000</v>
      </c>
      <c r="S163" s="26"/>
      <c r="T163" s="29">
        <v>0</v>
      </c>
      <c r="U163" s="36">
        <v>0</v>
      </c>
      <c r="X163" s="26" t="s">
        <v>100</v>
      </c>
    </row>
    <row r="164" spans="1:25" x14ac:dyDescent="0.35">
      <c r="A164" s="26" t="s">
        <v>571</v>
      </c>
      <c r="B164" s="32" t="s">
        <v>572</v>
      </c>
      <c r="C164" s="26" t="s">
        <v>572</v>
      </c>
      <c r="D164" s="26" t="s">
        <v>28</v>
      </c>
      <c r="E164" s="26" t="s">
        <v>573</v>
      </c>
      <c r="F164" s="26" t="s">
        <v>30</v>
      </c>
      <c r="G164" s="26" t="s">
        <v>30</v>
      </c>
      <c r="J164" s="26" t="s">
        <v>574</v>
      </c>
      <c r="L164" s="26" t="s">
        <v>575</v>
      </c>
      <c r="N164" s="28">
        <v>45292</v>
      </c>
      <c r="O164" s="28">
        <v>45657</v>
      </c>
      <c r="P164" s="26">
        <v>52</v>
      </c>
      <c r="Q164" s="35" t="s">
        <v>49</v>
      </c>
      <c r="R164" s="29">
        <v>100000000</v>
      </c>
      <c r="S164" s="26"/>
      <c r="T164" s="29">
        <v>0</v>
      </c>
      <c r="U164" s="36">
        <v>0</v>
      </c>
      <c r="X164" s="26" t="s">
        <v>100</v>
      </c>
    </row>
    <row r="165" spans="1:25" x14ac:dyDescent="0.35">
      <c r="A165" s="26" t="s">
        <v>576</v>
      </c>
      <c r="B165" s="32" t="s">
        <v>577</v>
      </c>
      <c r="C165" s="26" t="s">
        <v>577</v>
      </c>
      <c r="D165" s="26" t="s">
        <v>77</v>
      </c>
      <c r="E165" s="26" t="s">
        <v>573</v>
      </c>
      <c r="F165" s="26" t="s">
        <v>30</v>
      </c>
      <c r="G165" s="26" t="s">
        <v>30</v>
      </c>
      <c r="J165" s="26" t="s">
        <v>574</v>
      </c>
      <c r="L165" s="26" t="s">
        <v>575</v>
      </c>
      <c r="N165" s="28">
        <v>45292</v>
      </c>
      <c r="O165" s="28">
        <v>45657</v>
      </c>
      <c r="P165" s="26">
        <v>52</v>
      </c>
      <c r="Q165" s="35" t="s">
        <v>34</v>
      </c>
      <c r="R165" s="29">
        <v>40000000</v>
      </c>
      <c r="S165" s="26"/>
      <c r="T165" s="29">
        <v>20000000</v>
      </c>
      <c r="U165" s="36">
        <v>0.5</v>
      </c>
      <c r="X165" s="26" t="s">
        <v>100</v>
      </c>
    </row>
    <row r="166" spans="1:25" x14ac:dyDescent="0.35">
      <c r="A166" s="26" t="s">
        <v>578</v>
      </c>
      <c r="B166" s="32" t="s">
        <v>579</v>
      </c>
      <c r="C166" s="26" t="s">
        <v>579</v>
      </c>
      <c r="D166" s="26" t="s">
        <v>580</v>
      </c>
      <c r="E166" s="26" t="s">
        <v>573</v>
      </c>
      <c r="F166" s="26" t="s">
        <v>30</v>
      </c>
      <c r="G166" s="26" t="s">
        <v>30</v>
      </c>
      <c r="J166" s="26" t="s">
        <v>574</v>
      </c>
      <c r="L166" s="26" t="s">
        <v>575</v>
      </c>
      <c r="N166" s="28">
        <v>45292</v>
      </c>
      <c r="O166" s="28">
        <v>45657</v>
      </c>
      <c r="P166" s="26">
        <v>52</v>
      </c>
      <c r="Q166" s="35" t="s">
        <v>49</v>
      </c>
      <c r="R166" s="29">
        <v>10000000</v>
      </c>
      <c r="S166" s="26"/>
      <c r="T166" s="29">
        <v>0</v>
      </c>
      <c r="U166" s="36">
        <v>0</v>
      </c>
      <c r="X166" s="26" t="s">
        <v>100</v>
      </c>
    </row>
    <row r="167" spans="1:25" x14ac:dyDescent="0.35">
      <c r="A167" s="26" t="s">
        <v>581</v>
      </c>
      <c r="B167" s="32" t="s">
        <v>582</v>
      </c>
      <c r="C167" s="26" t="s">
        <v>582</v>
      </c>
      <c r="D167" s="26" t="s">
        <v>117</v>
      </c>
      <c r="E167" s="26" t="s">
        <v>573</v>
      </c>
      <c r="F167" s="26" t="s">
        <v>30</v>
      </c>
      <c r="G167" s="26" t="s">
        <v>30</v>
      </c>
      <c r="J167" s="26" t="s">
        <v>574</v>
      </c>
      <c r="L167" s="26" t="s">
        <v>575</v>
      </c>
      <c r="N167" s="28">
        <v>45292</v>
      </c>
      <c r="O167" s="28" t="s">
        <v>1973</v>
      </c>
      <c r="P167" s="26">
        <v>52</v>
      </c>
      <c r="Q167" s="35" t="s">
        <v>34</v>
      </c>
      <c r="R167" s="29">
        <v>3100000000</v>
      </c>
      <c r="S167" s="26"/>
      <c r="T167" s="29">
        <v>384900000</v>
      </c>
      <c r="U167" s="36">
        <v>0.12</v>
      </c>
      <c r="X167" s="26" t="s">
        <v>100</v>
      </c>
    </row>
    <row r="168" spans="1:25" x14ac:dyDescent="0.35">
      <c r="A168" s="26" t="s">
        <v>583</v>
      </c>
      <c r="B168" s="32" t="s">
        <v>584</v>
      </c>
      <c r="C168" s="26" t="s">
        <v>584</v>
      </c>
      <c r="D168" s="26" t="s">
        <v>117</v>
      </c>
      <c r="E168" s="26" t="s">
        <v>573</v>
      </c>
      <c r="F168" s="26" t="s">
        <v>30</v>
      </c>
      <c r="G168" s="26" t="s">
        <v>30</v>
      </c>
      <c r="J168" s="26" t="s">
        <v>574</v>
      </c>
      <c r="L168" s="26" t="s">
        <v>575</v>
      </c>
      <c r="N168" s="28">
        <v>45292</v>
      </c>
      <c r="O168" s="28">
        <v>45657</v>
      </c>
      <c r="P168" s="26">
        <v>52</v>
      </c>
      <c r="Q168" s="35" t="s">
        <v>49</v>
      </c>
      <c r="R168" s="29">
        <v>28000000</v>
      </c>
      <c r="S168" s="26"/>
      <c r="T168" s="29">
        <v>0</v>
      </c>
      <c r="U168" s="36">
        <v>0</v>
      </c>
      <c r="X168" s="26" t="s">
        <v>100</v>
      </c>
    </row>
    <row r="169" spans="1:25" x14ac:dyDescent="0.35">
      <c r="A169" s="26" t="s">
        <v>585</v>
      </c>
      <c r="B169" s="32" t="s">
        <v>586</v>
      </c>
      <c r="C169" s="26" t="s">
        <v>586</v>
      </c>
      <c r="D169" s="26" t="s">
        <v>587</v>
      </c>
      <c r="E169" s="26" t="s">
        <v>573</v>
      </c>
      <c r="F169" s="26" t="s">
        <v>30</v>
      </c>
      <c r="G169" s="26" t="s">
        <v>30</v>
      </c>
      <c r="J169" s="26" t="s">
        <v>574</v>
      </c>
      <c r="L169" s="26" t="s">
        <v>575</v>
      </c>
      <c r="N169" s="28">
        <v>45292</v>
      </c>
      <c r="O169" s="28">
        <v>45657</v>
      </c>
      <c r="P169" s="26">
        <v>52</v>
      </c>
      <c r="Q169" s="35" t="s">
        <v>49</v>
      </c>
      <c r="R169" s="29">
        <v>20000000</v>
      </c>
      <c r="S169" s="26"/>
      <c r="T169" s="29">
        <v>0</v>
      </c>
      <c r="U169" s="36">
        <v>0</v>
      </c>
      <c r="X169" s="26" t="s">
        <v>100</v>
      </c>
    </row>
    <row r="170" spans="1:25" x14ac:dyDescent="0.35">
      <c r="A170" s="26" t="s">
        <v>588</v>
      </c>
      <c r="B170" s="32" t="s">
        <v>589</v>
      </c>
      <c r="C170" s="26" t="s">
        <v>589</v>
      </c>
      <c r="D170" s="26" t="s">
        <v>28</v>
      </c>
      <c r="E170" s="26" t="s">
        <v>573</v>
      </c>
      <c r="F170" s="26" t="s">
        <v>30</v>
      </c>
      <c r="G170" s="26" t="s">
        <v>30</v>
      </c>
      <c r="J170" s="26" t="s">
        <v>574</v>
      </c>
      <c r="L170" s="26" t="s">
        <v>575</v>
      </c>
      <c r="N170" s="28">
        <v>45292</v>
      </c>
      <c r="O170" s="28">
        <v>45657</v>
      </c>
      <c r="P170" s="26">
        <v>52</v>
      </c>
      <c r="Q170" s="35" t="s">
        <v>49</v>
      </c>
      <c r="R170" s="29">
        <v>3200000000</v>
      </c>
      <c r="S170" s="26"/>
      <c r="T170" s="29">
        <v>0</v>
      </c>
      <c r="U170" s="36">
        <v>0</v>
      </c>
      <c r="X170" s="26" t="s">
        <v>100</v>
      </c>
    </row>
    <row r="171" spans="1:25" x14ac:dyDescent="0.35">
      <c r="A171" s="26" t="s">
        <v>590</v>
      </c>
      <c r="B171" s="32" t="s">
        <v>591</v>
      </c>
      <c r="C171" s="26" t="s">
        <v>591</v>
      </c>
      <c r="D171" s="26" t="s">
        <v>592</v>
      </c>
      <c r="E171" s="26" t="s">
        <v>573</v>
      </c>
      <c r="F171" s="26" t="s">
        <v>30</v>
      </c>
      <c r="G171" s="26" t="s">
        <v>30</v>
      </c>
      <c r="J171" s="26" t="s">
        <v>574</v>
      </c>
      <c r="L171" s="26" t="s">
        <v>575</v>
      </c>
      <c r="N171" s="28">
        <v>45292</v>
      </c>
      <c r="O171" s="28">
        <v>45657</v>
      </c>
      <c r="P171" s="26">
        <v>52</v>
      </c>
      <c r="Q171" s="35" t="s">
        <v>49</v>
      </c>
      <c r="R171" s="29">
        <v>4000000</v>
      </c>
      <c r="S171" s="26"/>
      <c r="T171" s="29">
        <v>0</v>
      </c>
      <c r="U171" s="36">
        <v>0</v>
      </c>
      <c r="X171" s="26" t="s">
        <v>100</v>
      </c>
    </row>
    <row r="172" spans="1:25" x14ac:dyDescent="0.35">
      <c r="A172" s="26" t="s">
        <v>593</v>
      </c>
      <c r="B172" s="32" t="s">
        <v>594</v>
      </c>
      <c r="C172" s="26" t="s">
        <v>594</v>
      </c>
      <c r="D172" s="26" t="s">
        <v>595</v>
      </c>
      <c r="E172" s="26" t="s">
        <v>573</v>
      </c>
      <c r="F172" s="26" t="s">
        <v>30</v>
      </c>
      <c r="G172" s="26" t="s">
        <v>30</v>
      </c>
      <c r="J172" s="26" t="s">
        <v>574</v>
      </c>
      <c r="L172" s="26" t="s">
        <v>575</v>
      </c>
      <c r="N172" s="28">
        <v>45292</v>
      </c>
      <c r="O172" s="28">
        <v>45657</v>
      </c>
      <c r="P172" s="26">
        <v>52</v>
      </c>
      <c r="Q172" s="35" t="s">
        <v>49</v>
      </c>
      <c r="R172" s="29">
        <v>200000000</v>
      </c>
      <c r="S172" s="26"/>
      <c r="T172" s="29">
        <v>0</v>
      </c>
      <c r="U172" s="36">
        <v>0</v>
      </c>
      <c r="X172" s="26" t="s">
        <v>100</v>
      </c>
    </row>
    <row r="173" spans="1:25" x14ac:dyDescent="0.35">
      <c r="A173" s="26" t="s">
        <v>596</v>
      </c>
      <c r="B173" s="32" t="s">
        <v>597</v>
      </c>
      <c r="C173" s="26" t="s">
        <v>597</v>
      </c>
      <c r="D173" s="26" t="s">
        <v>28</v>
      </c>
      <c r="E173" s="26" t="s">
        <v>573</v>
      </c>
      <c r="F173" s="26" t="s">
        <v>30</v>
      </c>
      <c r="G173" s="26" t="s">
        <v>30</v>
      </c>
      <c r="J173" s="26" t="s">
        <v>574</v>
      </c>
      <c r="L173" s="26" t="s">
        <v>575</v>
      </c>
      <c r="N173" s="28">
        <v>45292</v>
      </c>
      <c r="O173" s="28">
        <v>45657</v>
      </c>
      <c r="P173" s="26">
        <v>52</v>
      </c>
      <c r="Q173" s="35" t="s">
        <v>49</v>
      </c>
      <c r="R173" s="29">
        <v>160000000</v>
      </c>
      <c r="S173" s="26"/>
      <c r="T173" s="29">
        <v>0</v>
      </c>
      <c r="U173" s="36">
        <v>0</v>
      </c>
      <c r="X173" s="26" t="s">
        <v>100</v>
      </c>
    </row>
    <row r="174" spans="1:25" x14ac:dyDescent="0.35">
      <c r="A174" s="26" t="s">
        <v>598</v>
      </c>
      <c r="B174" s="32" t="s">
        <v>599</v>
      </c>
      <c r="C174" s="26" t="s">
        <v>599</v>
      </c>
      <c r="D174" s="26" t="s">
        <v>600</v>
      </c>
      <c r="E174" s="26" t="s">
        <v>573</v>
      </c>
      <c r="F174" s="26" t="s">
        <v>30</v>
      </c>
      <c r="G174" s="26" t="s">
        <v>30</v>
      </c>
      <c r="J174" s="26" t="s">
        <v>574</v>
      </c>
      <c r="L174" s="26" t="s">
        <v>575</v>
      </c>
      <c r="N174" s="28">
        <v>45292</v>
      </c>
      <c r="O174" s="28">
        <v>45657</v>
      </c>
      <c r="P174" s="26">
        <v>52</v>
      </c>
      <c r="Q174" s="35" t="s">
        <v>49</v>
      </c>
      <c r="R174" s="29">
        <v>50000000</v>
      </c>
      <c r="S174" s="26"/>
      <c r="T174" s="29">
        <v>0</v>
      </c>
      <c r="U174" s="36">
        <v>0</v>
      </c>
      <c r="X174" s="26" t="s">
        <v>100</v>
      </c>
    </row>
    <row r="175" spans="1:25" x14ac:dyDescent="0.35">
      <c r="A175" s="26" t="s">
        <v>601</v>
      </c>
      <c r="B175" s="32" t="s">
        <v>602</v>
      </c>
      <c r="C175" s="26" t="s">
        <v>602</v>
      </c>
      <c r="D175" s="26" t="s">
        <v>117</v>
      </c>
      <c r="E175" s="26" t="s">
        <v>573</v>
      </c>
      <c r="F175" s="26" t="s">
        <v>30</v>
      </c>
      <c r="G175" s="26" t="s">
        <v>30</v>
      </c>
      <c r="J175" s="26" t="s">
        <v>574</v>
      </c>
      <c r="L175" s="26" t="s">
        <v>575</v>
      </c>
      <c r="N175" s="28">
        <v>45292</v>
      </c>
      <c r="O175" s="28">
        <v>45657</v>
      </c>
      <c r="P175" s="26">
        <v>52</v>
      </c>
      <c r="Q175" s="35" t="s">
        <v>49</v>
      </c>
      <c r="R175" s="29">
        <v>4000000</v>
      </c>
      <c r="S175" s="26"/>
      <c r="T175" s="29">
        <v>0</v>
      </c>
      <c r="U175" s="36">
        <v>0</v>
      </c>
      <c r="X175" s="26" t="s">
        <v>100</v>
      </c>
    </row>
    <row r="176" spans="1:25" x14ac:dyDescent="0.35">
      <c r="A176" s="26" t="s">
        <v>603</v>
      </c>
      <c r="B176" s="32" t="s">
        <v>604</v>
      </c>
      <c r="C176" s="26" t="s">
        <v>604</v>
      </c>
      <c r="D176" s="26" t="s">
        <v>117</v>
      </c>
      <c r="E176" s="26" t="s">
        <v>573</v>
      </c>
      <c r="F176" s="26" t="s">
        <v>30</v>
      </c>
      <c r="G176" s="26" t="s">
        <v>30</v>
      </c>
      <c r="J176" s="26" t="s">
        <v>574</v>
      </c>
      <c r="L176" s="26" t="s">
        <v>575</v>
      </c>
      <c r="N176" s="28">
        <v>45292</v>
      </c>
      <c r="O176" s="28">
        <v>45657</v>
      </c>
      <c r="P176" s="26">
        <v>52</v>
      </c>
      <c r="Q176" s="35" t="s">
        <v>49</v>
      </c>
      <c r="R176" s="29">
        <v>4000000</v>
      </c>
      <c r="S176" s="26"/>
      <c r="T176" s="29">
        <v>0</v>
      </c>
      <c r="U176" s="36">
        <v>0</v>
      </c>
      <c r="X176" s="26" t="s">
        <v>100</v>
      </c>
    </row>
    <row r="177" spans="1:24" x14ac:dyDescent="0.35">
      <c r="A177" s="26" t="s">
        <v>605</v>
      </c>
      <c r="B177" s="32" t="s">
        <v>606</v>
      </c>
      <c r="C177" s="26" t="s">
        <v>606</v>
      </c>
      <c r="D177" s="26" t="s">
        <v>117</v>
      </c>
      <c r="E177" s="26" t="s">
        <v>573</v>
      </c>
      <c r="F177" s="26" t="s">
        <v>30</v>
      </c>
      <c r="G177" s="26" t="s">
        <v>30</v>
      </c>
      <c r="J177" s="26" t="s">
        <v>574</v>
      </c>
      <c r="L177" s="26" t="s">
        <v>575</v>
      </c>
      <c r="N177" s="28">
        <v>45292</v>
      </c>
      <c r="O177" s="28">
        <v>45657</v>
      </c>
      <c r="P177" s="26">
        <v>52</v>
      </c>
      <c r="Q177" s="35" t="s">
        <v>49</v>
      </c>
      <c r="R177" s="29">
        <v>2500000000</v>
      </c>
      <c r="S177" s="26"/>
      <c r="T177" s="29">
        <v>0</v>
      </c>
      <c r="U177" s="36">
        <v>0</v>
      </c>
      <c r="X177" s="26" t="s">
        <v>100</v>
      </c>
    </row>
    <row r="178" spans="1:24" x14ac:dyDescent="0.35">
      <c r="A178" s="26" t="s">
        <v>607</v>
      </c>
      <c r="B178" s="32" t="s">
        <v>608</v>
      </c>
      <c r="C178" s="26" t="s">
        <v>608</v>
      </c>
      <c r="D178" s="26" t="s">
        <v>28</v>
      </c>
      <c r="E178" s="26" t="s">
        <v>573</v>
      </c>
      <c r="F178" s="26" t="s">
        <v>30</v>
      </c>
      <c r="G178" s="26" t="s">
        <v>30</v>
      </c>
      <c r="J178" s="26" t="s">
        <v>574</v>
      </c>
      <c r="L178" s="26" t="s">
        <v>575</v>
      </c>
      <c r="N178" s="28">
        <v>45292</v>
      </c>
      <c r="O178" s="28">
        <v>45657</v>
      </c>
      <c r="P178" s="26">
        <v>52</v>
      </c>
      <c r="Q178" s="35" t="s">
        <v>49</v>
      </c>
      <c r="R178" s="29">
        <v>8000000</v>
      </c>
      <c r="S178" s="26"/>
      <c r="T178" s="29">
        <v>0</v>
      </c>
      <c r="U178" s="36">
        <v>0</v>
      </c>
      <c r="X178" s="26" t="s">
        <v>100</v>
      </c>
    </row>
    <row r="179" spans="1:24" x14ac:dyDescent="0.35">
      <c r="A179" s="26" t="s">
        <v>609</v>
      </c>
      <c r="B179" s="32" t="s">
        <v>610</v>
      </c>
      <c r="C179" s="26" t="s">
        <v>610</v>
      </c>
      <c r="D179" s="26" t="s">
        <v>28</v>
      </c>
      <c r="E179" s="26" t="s">
        <v>573</v>
      </c>
      <c r="F179" s="26" t="s">
        <v>30</v>
      </c>
      <c r="G179" s="26" t="s">
        <v>30</v>
      </c>
      <c r="J179" s="26" t="s">
        <v>574</v>
      </c>
      <c r="L179" s="26" t="s">
        <v>575</v>
      </c>
      <c r="N179" s="28">
        <v>45292</v>
      </c>
      <c r="O179" s="28">
        <v>45657</v>
      </c>
      <c r="P179" s="26">
        <v>52</v>
      </c>
      <c r="Q179" s="35" t="s">
        <v>49</v>
      </c>
      <c r="R179" s="29">
        <v>249784041.28</v>
      </c>
      <c r="S179" s="26"/>
      <c r="T179" s="29">
        <v>0</v>
      </c>
      <c r="U179" s="36">
        <v>0</v>
      </c>
      <c r="X179" s="26" t="s">
        <v>100</v>
      </c>
    </row>
    <row r="180" spans="1:24" x14ac:dyDescent="0.35">
      <c r="A180" s="26" t="s">
        <v>611</v>
      </c>
      <c r="B180" s="32" t="s">
        <v>612</v>
      </c>
      <c r="C180" s="26" t="s">
        <v>612</v>
      </c>
      <c r="D180" s="26" t="s">
        <v>117</v>
      </c>
      <c r="E180" s="26" t="s">
        <v>573</v>
      </c>
      <c r="F180" s="26" t="s">
        <v>30</v>
      </c>
      <c r="G180" s="26" t="s">
        <v>30</v>
      </c>
      <c r="J180" s="26" t="s">
        <v>574</v>
      </c>
      <c r="L180" s="26" t="s">
        <v>575</v>
      </c>
      <c r="N180" s="28">
        <v>45292</v>
      </c>
      <c r="O180" s="28">
        <v>45657</v>
      </c>
      <c r="P180" s="26">
        <v>52</v>
      </c>
      <c r="Q180" s="35" t="s">
        <v>49</v>
      </c>
      <c r="R180" s="29">
        <v>1690500000</v>
      </c>
      <c r="S180" s="26"/>
      <c r="T180" s="29">
        <v>0</v>
      </c>
      <c r="U180" s="36">
        <v>0</v>
      </c>
      <c r="X180" s="26" t="s">
        <v>100</v>
      </c>
    </row>
    <row r="181" spans="1:24" x14ac:dyDescent="0.35">
      <c r="A181" s="26" t="s">
        <v>613</v>
      </c>
      <c r="B181" s="32" t="s">
        <v>614</v>
      </c>
      <c r="C181" s="26" t="s">
        <v>614</v>
      </c>
      <c r="D181" s="26" t="s">
        <v>615</v>
      </c>
      <c r="E181" s="26" t="s">
        <v>573</v>
      </c>
      <c r="F181" s="26" t="s">
        <v>30</v>
      </c>
      <c r="G181" s="26" t="s">
        <v>30</v>
      </c>
      <c r="J181" s="26" t="s">
        <v>574</v>
      </c>
      <c r="L181" s="26" t="s">
        <v>575</v>
      </c>
      <c r="N181" s="28">
        <v>45292</v>
      </c>
      <c r="O181" s="28">
        <v>45657</v>
      </c>
      <c r="P181" s="26">
        <v>52</v>
      </c>
      <c r="Q181" s="35" t="s">
        <v>49</v>
      </c>
      <c r="R181" s="29">
        <v>500000000</v>
      </c>
      <c r="S181" s="26"/>
      <c r="T181" s="29">
        <v>0</v>
      </c>
      <c r="U181" s="36">
        <v>0</v>
      </c>
      <c r="X181" s="26" t="s">
        <v>100</v>
      </c>
    </row>
    <row r="182" spans="1:24" x14ac:dyDescent="0.35">
      <c r="A182" s="26" t="s">
        <v>616</v>
      </c>
      <c r="B182" s="32" t="s">
        <v>617</v>
      </c>
      <c r="C182" s="26" t="s">
        <v>617</v>
      </c>
      <c r="D182" s="26" t="s">
        <v>28</v>
      </c>
      <c r="E182" s="26" t="s">
        <v>573</v>
      </c>
      <c r="F182" s="26" t="s">
        <v>30</v>
      </c>
      <c r="G182" s="26" t="s">
        <v>30</v>
      </c>
      <c r="J182" s="26" t="s">
        <v>574</v>
      </c>
      <c r="L182" s="26" t="s">
        <v>575</v>
      </c>
      <c r="N182" s="28">
        <v>45292</v>
      </c>
      <c r="O182" s="28">
        <v>45657</v>
      </c>
      <c r="P182" s="26">
        <v>52</v>
      </c>
      <c r="Q182" s="35" t="s">
        <v>49</v>
      </c>
      <c r="R182" s="29">
        <v>1100000000</v>
      </c>
      <c r="S182" s="26"/>
      <c r="T182" s="29">
        <v>0</v>
      </c>
      <c r="U182" s="36">
        <v>0</v>
      </c>
      <c r="X182" s="26" t="s">
        <v>100</v>
      </c>
    </row>
    <row r="183" spans="1:24" x14ac:dyDescent="0.35">
      <c r="A183" s="26" t="s">
        <v>618</v>
      </c>
      <c r="B183" s="32" t="s">
        <v>619</v>
      </c>
      <c r="C183" s="26" t="s">
        <v>619</v>
      </c>
      <c r="D183" s="26" t="s">
        <v>620</v>
      </c>
      <c r="E183" s="26" t="s">
        <v>573</v>
      </c>
      <c r="F183" s="26" t="s">
        <v>30</v>
      </c>
      <c r="G183" s="26" t="s">
        <v>30</v>
      </c>
      <c r="J183" s="26" t="s">
        <v>574</v>
      </c>
      <c r="L183" s="26" t="s">
        <v>575</v>
      </c>
      <c r="N183" s="28">
        <v>45292</v>
      </c>
      <c r="O183" s="28">
        <v>45657</v>
      </c>
      <c r="P183" s="26">
        <v>52</v>
      </c>
      <c r="Q183" s="35" t="s">
        <v>49</v>
      </c>
      <c r="R183" s="29">
        <v>4330000</v>
      </c>
      <c r="S183" s="26"/>
      <c r="T183" s="29">
        <v>0</v>
      </c>
      <c r="U183" s="36">
        <v>0</v>
      </c>
      <c r="X183" s="26" t="s">
        <v>100</v>
      </c>
    </row>
    <row r="184" spans="1:24" x14ac:dyDescent="0.35">
      <c r="A184" s="26" t="s">
        <v>621</v>
      </c>
      <c r="B184" s="32" t="s">
        <v>622</v>
      </c>
      <c r="C184" s="40" t="s">
        <v>623</v>
      </c>
      <c r="D184" s="26" t="s">
        <v>28</v>
      </c>
      <c r="E184" s="26" t="s">
        <v>573</v>
      </c>
      <c r="F184" s="26" t="s">
        <v>30</v>
      </c>
      <c r="G184" s="26" t="s">
        <v>30</v>
      </c>
      <c r="J184" s="26" t="s">
        <v>574</v>
      </c>
      <c r="L184" s="26" t="s">
        <v>575</v>
      </c>
      <c r="N184" s="28">
        <v>45658</v>
      </c>
      <c r="O184" s="28">
        <v>46022</v>
      </c>
      <c r="P184" s="26">
        <v>52</v>
      </c>
      <c r="Q184" s="35" t="s">
        <v>211</v>
      </c>
      <c r="R184" s="29">
        <v>10000000</v>
      </c>
      <c r="S184" s="26"/>
      <c r="T184" s="52">
        <v>11000000</v>
      </c>
      <c r="U184" s="36">
        <v>1</v>
      </c>
      <c r="X184" s="26" t="s">
        <v>100</v>
      </c>
    </row>
    <row r="185" spans="1:24" x14ac:dyDescent="0.35">
      <c r="A185" s="26" t="s">
        <v>624</v>
      </c>
      <c r="B185" s="32" t="s">
        <v>625</v>
      </c>
      <c r="C185" s="26" t="s">
        <v>625</v>
      </c>
      <c r="D185" s="26" t="s">
        <v>117</v>
      </c>
      <c r="E185" s="26" t="s">
        <v>573</v>
      </c>
      <c r="F185" s="26" t="s">
        <v>30</v>
      </c>
      <c r="G185" s="26" t="s">
        <v>30</v>
      </c>
      <c r="J185" s="26" t="s">
        <v>574</v>
      </c>
      <c r="L185" s="26" t="s">
        <v>575</v>
      </c>
      <c r="N185" s="28">
        <v>45292</v>
      </c>
      <c r="O185" s="28">
        <v>45657</v>
      </c>
      <c r="P185" s="26">
        <v>52</v>
      </c>
      <c r="Q185" s="35" t="s">
        <v>49</v>
      </c>
      <c r="R185" s="29">
        <v>500000000</v>
      </c>
      <c r="S185" s="26"/>
      <c r="T185" s="29">
        <v>0</v>
      </c>
      <c r="U185" s="36">
        <v>0</v>
      </c>
      <c r="X185" s="26" t="s">
        <v>100</v>
      </c>
    </row>
    <row r="186" spans="1:24" x14ac:dyDescent="0.35">
      <c r="A186" s="26" t="s">
        <v>626</v>
      </c>
      <c r="B186" s="32" t="s">
        <v>627</v>
      </c>
      <c r="C186" s="26" t="s">
        <v>627</v>
      </c>
      <c r="D186" s="26" t="s">
        <v>117</v>
      </c>
      <c r="E186" s="26" t="s">
        <v>573</v>
      </c>
      <c r="F186" s="26" t="s">
        <v>30</v>
      </c>
      <c r="G186" s="26" t="s">
        <v>30</v>
      </c>
      <c r="J186" s="26" t="s">
        <v>574</v>
      </c>
      <c r="L186" s="26" t="s">
        <v>575</v>
      </c>
      <c r="N186" s="28">
        <v>45292</v>
      </c>
      <c r="O186" s="28">
        <v>45657</v>
      </c>
      <c r="P186" s="26">
        <v>52</v>
      </c>
      <c r="Q186" s="35" t="s">
        <v>49</v>
      </c>
      <c r="R186" s="29">
        <v>1000000000</v>
      </c>
      <c r="S186" s="26"/>
      <c r="T186" s="29">
        <v>0</v>
      </c>
      <c r="U186" s="36">
        <v>0</v>
      </c>
      <c r="X186" s="26" t="s">
        <v>100</v>
      </c>
    </row>
    <row r="187" spans="1:24" x14ac:dyDescent="0.35">
      <c r="A187" s="26" t="s">
        <v>628</v>
      </c>
      <c r="B187" s="32" t="s">
        <v>629</v>
      </c>
      <c r="C187" s="26" t="s">
        <v>629</v>
      </c>
      <c r="D187" s="26" t="s">
        <v>117</v>
      </c>
      <c r="E187" s="26" t="s">
        <v>573</v>
      </c>
      <c r="F187" s="26" t="s">
        <v>30</v>
      </c>
      <c r="G187" s="26" t="s">
        <v>30</v>
      </c>
      <c r="J187" s="26" t="s">
        <v>574</v>
      </c>
      <c r="L187" s="26" t="s">
        <v>575</v>
      </c>
      <c r="N187" s="28">
        <v>45292</v>
      </c>
      <c r="O187" s="28">
        <v>45657</v>
      </c>
      <c r="P187" s="26">
        <v>52</v>
      </c>
      <c r="Q187" s="35" t="s">
        <v>49</v>
      </c>
      <c r="R187" s="29">
        <v>100000000</v>
      </c>
      <c r="S187" s="26"/>
      <c r="T187" s="29">
        <v>0</v>
      </c>
      <c r="U187" s="36">
        <v>0</v>
      </c>
      <c r="X187" s="26" t="s">
        <v>100</v>
      </c>
    </row>
    <row r="188" spans="1:24" x14ac:dyDescent="0.35">
      <c r="A188" s="26" t="s">
        <v>699</v>
      </c>
      <c r="B188" s="26" t="s">
        <v>2595</v>
      </c>
      <c r="C188" s="26" t="s">
        <v>700</v>
      </c>
      <c r="D188" s="26" t="s">
        <v>28</v>
      </c>
      <c r="E188" s="26" t="s">
        <v>162</v>
      </c>
      <c r="F188" s="26" t="s">
        <v>30</v>
      </c>
      <c r="G188" s="26" t="s">
        <v>30</v>
      </c>
      <c r="J188" s="26" t="s">
        <v>146</v>
      </c>
      <c r="L188" s="26" t="s">
        <v>164</v>
      </c>
      <c r="N188" s="26">
        <v>44935</v>
      </c>
      <c r="O188" s="35" t="s">
        <v>701</v>
      </c>
      <c r="P188" s="26">
        <v>24</v>
      </c>
      <c r="Q188" s="35" t="s">
        <v>211</v>
      </c>
      <c r="R188" s="67">
        <v>631219465.87</v>
      </c>
      <c r="S188" s="26"/>
      <c r="T188" s="67">
        <v>631219465.87</v>
      </c>
      <c r="U188" s="26">
        <v>100</v>
      </c>
      <c r="X188" s="26" t="s">
        <v>165</v>
      </c>
    </row>
    <row r="189" spans="1:24" x14ac:dyDescent="0.35">
      <c r="A189" s="26" t="s">
        <v>702</v>
      </c>
      <c r="B189" s="26" t="s">
        <v>703</v>
      </c>
      <c r="C189" s="26" t="s">
        <v>704</v>
      </c>
      <c r="D189" s="26" t="s">
        <v>28</v>
      </c>
      <c r="E189" s="26" t="s">
        <v>162</v>
      </c>
      <c r="F189" s="26" t="s">
        <v>30</v>
      </c>
      <c r="G189" s="26" t="s">
        <v>30</v>
      </c>
      <c r="J189" s="26" t="s">
        <v>146</v>
      </c>
      <c r="L189" s="26" t="s">
        <v>164</v>
      </c>
      <c r="N189" s="26">
        <v>44934</v>
      </c>
      <c r="O189" s="35" t="s">
        <v>705</v>
      </c>
      <c r="P189" s="26">
        <v>8</v>
      </c>
      <c r="Q189" s="35" t="s">
        <v>211</v>
      </c>
      <c r="R189" s="67">
        <v>48000000</v>
      </c>
      <c r="S189" s="26"/>
      <c r="T189" s="67">
        <v>48000000</v>
      </c>
      <c r="U189" s="26">
        <v>100</v>
      </c>
      <c r="X189" s="26" t="s">
        <v>165</v>
      </c>
    </row>
    <row r="190" spans="1:24" x14ac:dyDescent="0.35">
      <c r="A190" s="26" t="s">
        <v>706</v>
      </c>
      <c r="B190" s="32" t="s">
        <v>707</v>
      </c>
      <c r="C190" s="26" t="s">
        <v>707</v>
      </c>
      <c r="D190" s="26" t="s">
        <v>117</v>
      </c>
      <c r="E190" s="26" t="s">
        <v>162</v>
      </c>
      <c r="F190" s="26" t="s">
        <v>30</v>
      </c>
      <c r="G190" s="26" t="s">
        <v>30</v>
      </c>
      <c r="J190" s="26" t="s">
        <v>146</v>
      </c>
      <c r="L190" s="26" t="s">
        <v>164</v>
      </c>
      <c r="N190" s="28">
        <v>45200</v>
      </c>
      <c r="O190" s="28">
        <v>45291</v>
      </c>
      <c r="P190" s="26">
        <v>12</v>
      </c>
      <c r="Q190" s="35" t="s">
        <v>34</v>
      </c>
      <c r="R190" s="29">
        <v>150000000</v>
      </c>
      <c r="S190" s="26"/>
      <c r="T190" s="29">
        <v>100000000</v>
      </c>
      <c r="U190" s="36">
        <f>T190/R190</f>
        <v>0.66666666666666663</v>
      </c>
      <c r="X190" s="26" t="s">
        <v>195</v>
      </c>
    </row>
    <row r="191" spans="1:24" x14ac:dyDescent="0.35">
      <c r="A191" s="26" t="s">
        <v>708</v>
      </c>
      <c r="B191" s="32" t="s">
        <v>709</v>
      </c>
      <c r="C191" s="26" t="s">
        <v>710</v>
      </c>
      <c r="D191" s="26" t="s">
        <v>117</v>
      </c>
      <c r="E191" s="26" t="s">
        <v>162</v>
      </c>
      <c r="F191" s="26" t="s">
        <v>30</v>
      </c>
      <c r="G191" s="26" t="s">
        <v>30</v>
      </c>
      <c r="J191" s="26" t="s">
        <v>146</v>
      </c>
      <c r="L191" s="26" t="s">
        <v>164</v>
      </c>
      <c r="N191" s="28">
        <v>44938</v>
      </c>
      <c r="O191" s="28" t="s">
        <v>711</v>
      </c>
      <c r="P191" s="26">
        <v>28</v>
      </c>
      <c r="Q191" s="35" t="s">
        <v>211</v>
      </c>
      <c r="R191" s="29">
        <v>1344136088</v>
      </c>
      <c r="S191" s="26"/>
      <c r="T191" s="29">
        <v>1344136088</v>
      </c>
      <c r="U191" s="36">
        <v>1</v>
      </c>
      <c r="X191" s="26" t="s">
        <v>212</v>
      </c>
    </row>
    <row r="192" spans="1:24" x14ac:dyDescent="0.35">
      <c r="A192" s="26" t="s">
        <v>712</v>
      </c>
      <c r="B192" s="32" t="s">
        <v>713</v>
      </c>
      <c r="C192" s="26" t="s">
        <v>713</v>
      </c>
      <c r="D192" s="26" t="s">
        <v>714</v>
      </c>
      <c r="E192" s="26" t="s">
        <v>162</v>
      </c>
      <c r="F192" s="26" t="s">
        <v>30</v>
      </c>
      <c r="G192" s="26" t="s">
        <v>30</v>
      </c>
      <c r="J192" s="26" t="s">
        <v>146</v>
      </c>
      <c r="L192" s="26" t="s">
        <v>164</v>
      </c>
      <c r="N192" s="28">
        <v>45200</v>
      </c>
      <c r="O192" s="28">
        <v>45291</v>
      </c>
      <c r="P192" s="26">
        <v>12</v>
      </c>
      <c r="Q192" s="35" t="s">
        <v>34</v>
      </c>
      <c r="R192" s="29">
        <v>500873808</v>
      </c>
      <c r="S192" s="26"/>
      <c r="T192" s="29">
        <v>30285000</v>
      </c>
      <c r="U192" s="36">
        <v>6.0499999999999998E-2</v>
      </c>
      <c r="X192" s="26" t="s">
        <v>165</v>
      </c>
    </row>
    <row r="193" spans="1:24" x14ac:dyDescent="0.35">
      <c r="A193" s="26" t="s">
        <v>715</v>
      </c>
      <c r="B193" s="32" t="s">
        <v>716</v>
      </c>
      <c r="C193" s="26" t="s">
        <v>717</v>
      </c>
      <c r="D193" s="26" t="s">
        <v>229</v>
      </c>
      <c r="E193" s="26" t="s">
        <v>162</v>
      </c>
      <c r="F193" s="26" t="s">
        <v>30</v>
      </c>
      <c r="G193" s="26" t="s">
        <v>30</v>
      </c>
      <c r="J193" s="26" t="s">
        <v>146</v>
      </c>
      <c r="L193" s="26" t="s">
        <v>164</v>
      </c>
      <c r="N193" s="28">
        <v>45200</v>
      </c>
      <c r="O193" s="28">
        <v>45291</v>
      </c>
      <c r="P193" s="26">
        <v>12</v>
      </c>
      <c r="Q193" s="35" t="s">
        <v>49</v>
      </c>
      <c r="R193" s="29">
        <v>148537262</v>
      </c>
      <c r="S193" s="26"/>
      <c r="T193" s="29">
        <v>0</v>
      </c>
      <c r="U193" s="36">
        <v>0</v>
      </c>
      <c r="X193" s="26" t="s">
        <v>165</v>
      </c>
    </row>
    <row r="194" spans="1:24" x14ac:dyDescent="0.35">
      <c r="A194" s="26" t="s">
        <v>1788</v>
      </c>
      <c r="B194" s="32" t="s">
        <v>1789</v>
      </c>
      <c r="C194" s="26" t="s">
        <v>1790</v>
      </c>
      <c r="D194" s="26" t="s">
        <v>28</v>
      </c>
      <c r="E194" s="26" t="s">
        <v>162</v>
      </c>
      <c r="F194" s="26" t="s">
        <v>30</v>
      </c>
      <c r="G194" s="26" t="s">
        <v>30</v>
      </c>
      <c r="J194" s="26" t="s">
        <v>146</v>
      </c>
      <c r="L194" s="26" t="s">
        <v>164</v>
      </c>
      <c r="N194" s="28">
        <v>44967</v>
      </c>
      <c r="O194" s="28" t="s">
        <v>1722</v>
      </c>
      <c r="P194" s="26">
        <v>12</v>
      </c>
      <c r="Q194" s="35" t="s">
        <v>211</v>
      </c>
      <c r="R194" s="29">
        <v>500000000</v>
      </c>
      <c r="S194" s="26"/>
      <c r="T194" s="29">
        <v>500000000</v>
      </c>
      <c r="U194" s="36">
        <v>1</v>
      </c>
      <c r="X194" s="26" t="s">
        <v>186</v>
      </c>
    </row>
    <row r="195" spans="1:24" x14ac:dyDescent="0.35">
      <c r="A195" s="26" t="s">
        <v>1791</v>
      </c>
      <c r="B195" s="32" t="s">
        <v>1792</v>
      </c>
      <c r="C195" s="26" t="s">
        <v>1721</v>
      </c>
      <c r="D195" s="26" t="s">
        <v>28</v>
      </c>
      <c r="E195" s="26" t="s">
        <v>162</v>
      </c>
      <c r="F195" s="26" t="s">
        <v>30</v>
      </c>
      <c r="G195" s="26" t="s">
        <v>30</v>
      </c>
      <c r="J195" s="26" t="s">
        <v>146</v>
      </c>
      <c r="L195" s="26" t="s">
        <v>164</v>
      </c>
      <c r="N195" s="28">
        <v>44967</v>
      </c>
      <c r="O195" s="28" t="s">
        <v>1722</v>
      </c>
      <c r="P195" s="26">
        <v>12</v>
      </c>
      <c r="Q195" s="35" t="s">
        <v>211</v>
      </c>
      <c r="R195" s="29">
        <v>700000000</v>
      </c>
      <c r="S195" s="26"/>
      <c r="T195" s="29">
        <v>700000000</v>
      </c>
      <c r="U195" s="36">
        <v>1</v>
      </c>
      <c r="X195" s="26" t="s">
        <v>186</v>
      </c>
    </row>
    <row r="196" spans="1:24" x14ac:dyDescent="0.35">
      <c r="A196" s="26" t="s">
        <v>1823</v>
      </c>
      <c r="B196" s="32" t="s">
        <v>1824</v>
      </c>
      <c r="C196" s="26" t="s">
        <v>1825</v>
      </c>
      <c r="D196" s="26" t="s">
        <v>909</v>
      </c>
      <c r="E196" s="26" t="s">
        <v>162</v>
      </c>
      <c r="F196" s="26" t="s">
        <v>30</v>
      </c>
      <c r="G196" s="26" t="s">
        <v>30</v>
      </c>
      <c r="J196" s="26" t="s">
        <v>146</v>
      </c>
      <c r="L196" s="26" t="s">
        <v>164</v>
      </c>
      <c r="N196" s="28">
        <v>44967</v>
      </c>
      <c r="O196" s="28" t="s">
        <v>1774</v>
      </c>
      <c r="P196" s="26">
        <v>4</v>
      </c>
      <c r="Q196" s="35" t="s">
        <v>211</v>
      </c>
      <c r="R196" s="29">
        <v>164053437.55000001</v>
      </c>
      <c r="S196" s="26"/>
      <c r="T196" s="29">
        <v>164053437.55000001</v>
      </c>
      <c r="U196" s="36">
        <v>1</v>
      </c>
      <c r="X196" s="26" t="s">
        <v>186</v>
      </c>
    </row>
    <row r="197" spans="1:24" x14ac:dyDescent="0.35">
      <c r="A197" s="26" t="s">
        <v>1826</v>
      </c>
      <c r="B197" s="32" t="s">
        <v>1827</v>
      </c>
      <c r="C197" s="26" t="s">
        <v>1825</v>
      </c>
      <c r="D197" s="26" t="s">
        <v>909</v>
      </c>
      <c r="E197" s="26" t="s">
        <v>162</v>
      </c>
      <c r="F197" s="26" t="s">
        <v>30</v>
      </c>
      <c r="G197" s="26" t="s">
        <v>30</v>
      </c>
      <c r="J197" s="26" t="s">
        <v>146</v>
      </c>
      <c r="L197" s="26" t="s">
        <v>164</v>
      </c>
      <c r="N197" s="28">
        <v>45293</v>
      </c>
      <c r="O197" s="28" t="s">
        <v>1828</v>
      </c>
      <c r="P197" s="26">
        <v>4</v>
      </c>
      <c r="Q197" s="35" t="s">
        <v>211</v>
      </c>
      <c r="R197" s="29">
        <v>156698750</v>
      </c>
      <c r="S197" s="26"/>
      <c r="T197" s="29">
        <v>156698750</v>
      </c>
      <c r="U197" s="36">
        <v>1</v>
      </c>
      <c r="X197" s="26" t="s">
        <v>186</v>
      </c>
    </row>
    <row r="198" spans="1:24" x14ac:dyDescent="0.35">
      <c r="A198" s="26" t="s">
        <v>1926</v>
      </c>
      <c r="B198" s="32" t="s">
        <v>1927</v>
      </c>
      <c r="C198" s="26" t="s">
        <v>1928</v>
      </c>
      <c r="D198" s="26" t="s">
        <v>117</v>
      </c>
      <c r="E198" s="26" t="s">
        <v>162</v>
      </c>
      <c r="F198" s="26" t="s">
        <v>30</v>
      </c>
      <c r="G198" s="26" t="s">
        <v>30</v>
      </c>
      <c r="J198" s="26" t="s">
        <v>146</v>
      </c>
      <c r="L198" s="26" t="s">
        <v>164</v>
      </c>
      <c r="N198" s="28">
        <v>45292</v>
      </c>
      <c r="O198" s="28" t="s">
        <v>680</v>
      </c>
      <c r="P198" s="26">
        <v>16</v>
      </c>
      <c r="Q198" s="35" t="s">
        <v>211</v>
      </c>
      <c r="R198" s="29">
        <v>200500000</v>
      </c>
      <c r="S198" s="26"/>
      <c r="T198" s="29">
        <v>32000000</v>
      </c>
      <c r="U198" s="36">
        <v>1</v>
      </c>
      <c r="X198" s="26" t="s">
        <v>186</v>
      </c>
    </row>
    <row r="199" spans="1:24" x14ac:dyDescent="0.35">
      <c r="A199" s="26" t="s">
        <v>1929</v>
      </c>
      <c r="B199" s="32" t="s">
        <v>1930</v>
      </c>
      <c r="C199" s="26" t="s">
        <v>1931</v>
      </c>
      <c r="D199" s="26" t="s">
        <v>117</v>
      </c>
      <c r="E199" s="26" t="s">
        <v>162</v>
      </c>
      <c r="F199" s="26" t="s">
        <v>30</v>
      </c>
      <c r="G199" s="26" t="s">
        <v>30</v>
      </c>
      <c r="J199" s="26" t="s">
        <v>146</v>
      </c>
      <c r="L199" s="26" t="s">
        <v>164</v>
      </c>
      <c r="N199" s="28">
        <v>45292</v>
      </c>
      <c r="O199" s="28" t="s">
        <v>680</v>
      </c>
      <c r="P199" s="26">
        <v>16</v>
      </c>
      <c r="Q199" s="35" t="s">
        <v>211</v>
      </c>
      <c r="R199" s="29">
        <v>26309200</v>
      </c>
      <c r="S199" s="26"/>
      <c r="T199" s="29">
        <v>26309200</v>
      </c>
      <c r="U199" s="36">
        <v>1</v>
      </c>
      <c r="X199" s="26" t="s">
        <v>186</v>
      </c>
    </row>
    <row r="200" spans="1:24" x14ac:dyDescent="0.35">
      <c r="A200" s="26" t="s">
        <v>1932</v>
      </c>
      <c r="B200" s="32" t="s">
        <v>1933</v>
      </c>
      <c r="C200" s="26" t="s">
        <v>1934</v>
      </c>
      <c r="D200" s="26" t="s">
        <v>117</v>
      </c>
      <c r="E200" s="26" t="s">
        <v>162</v>
      </c>
      <c r="F200" s="26" t="s">
        <v>30</v>
      </c>
      <c r="G200" s="26" t="s">
        <v>30</v>
      </c>
      <c r="J200" s="26" t="s">
        <v>146</v>
      </c>
      <c r="L200" s="26" t="s">
        <v>164</v>
      </c>
      <c r="N200" s="28">
        <v>45294</v>
      </c>
      <c r="O200" s="28" t="s">
        <v>33</v>
      </c>
      <c r="P200" s="26">
        <v>40</v>
      </c>
      <c r="Q200" s="35" t="s">
        <v>211</v>
      </c>
      <c r="R200" s="29">
        <v>5666019340</v>
      </c>
      <c r="S200" s="26"/>
      <c r="T200" s="29">
        <v>5286694340</v>
      </c>
      <c r="U200" s="36">
        <v>1</v>
      </c>
      <c r="X200" s="26" t="s">
        <v>168</v>
      </c>
    </row>
    <row r="201" spans="1:24" x14ac:dyDescent="0.35">
      <c r="A201" s="26" t="s">
        <v>1935</v>
      </c>
      <c r="B201" s="32" t="s">
        <v>1936</v>
      </c>
      <c r="C201" s="26" t="s">
        <v>1937</v>
      </c>
      <c r="D201" s="26" t="s">
        <v>117</v>
      </c>
      <c r="E201" s="26" t="s">
        <v>162</v>
      </c>
      <c r="F201" s="26" t="s">
        <v>30</v>
      </c>
      <c r="G201" s="26" t="s">
        <v>30</v>
      </c>
      <c r="J201" s="26" t="s">
        <v>146</v>
      </c>
      <c r="L201" s="26" t="s">
        <v>164</v>
      </c>
      <c r="N201" s="28">
        <v>45292</v>
      </c>
      <c r="O201" s="28" t="s">
        <v>33</v>
      </c>
      <c r="P201" s="26">
        <v>54</v>
      </c>
      <c r="Q201" s="35" t="s">
        <v>34</v>
      </c>
      <c r="R201" s="29">
        <v>58656038740</v>
      </c>
      <c r="S201" s="26"/>
      <c r="T201" s="29">
        <v>10000000000</v>
      </c>
      <c r="U201" s="36">
        <v>0.17</v>
      </c>
      <c r="X201" s="26" t="s">
        <v>172</v>
      </c>
    </row>
    <row r="202" spans="1:24" x14ac:dyDescent="0.35">
      <c r="A202" s="26" t="s">
        <v>718</v>
      </c>
      <c r="B202" s="32" t="s">
        <v>719</v>
      </c>
      <c r="C202" s="26" t="s">
        <v>719</v>
      </c>
      <c r="D202" s="26" t="s">
        <v>229</v>
      </c>
      <c r="E202" s="26" t="s">
        <v>162</v>
      </c>
      <c r="F202" s="26" t="s">
        <v>30</v>
      </c>
      <c r="G202" s="26" t="s">
        <v>30</v>
      </c>
      <c r="J202" s="26" t="s">
        <v>163</v>
      </c>
      <c r="L202" s="26" t="s">
        <v>164</v>
      </c>
      <c r="N202" s="28">
        <v>45200</v>
      </c>
      <c r="O202" s="28">
        <v>45291</v>
      </c>
      <c r="P202" s="26">
        <v>12</v>
      </c>
      <c r="Q202" s="35" t="s">
        <v>49</v>
      </c>
      <c r="R202" s="29">
        <v>500000000</v>
      </c>
      <c r="S202" s="26"/>
      <c r="T202" s="29">
        <v>0</v>
      </c>
      <c r="U202" s="36">
        <v>0</v>
      </c>
    </row>
    <row r="203" spans="1:24" x14ac:dyDescent="0.35">
      <c r="A203" s="26" t="s">
        <v>1938</v>
      </c>
      <c r="B203" s="32" t="s">
        <v>1939</v>
      </c>
      <c r="C203" s="26" t="s">
        <v>1940</v>
      </c>
      <c r="D203" s="26" t="s">
        <v>909</v>
      </c>
      <c r="E203" s="26" t="s">
        <v>162</v>
      </c>
      <c r="F203" s="26" t="s">
        <v>30</v>
      </c>
      <c r="G203" s="26" t="s">
        <v>30</v>
      </c>
      <c r="J203" s="26" t="s">
        <v>146</v>
      </c>
      <c r="L203" s="26" t="s">
        <v>164</v>
      </c>
      <c r="N203" s="28">
        <v>45296</v>
      </c>
      <c r="O203" s="28" t="s">
        <v>1901</v>
      </c>
      <c r="P203" s="26">
        <v>4</v>
      </c>
      <c r="Q203" s="35" t="s">
        <v>34</v>
      </c>
      <c r="R203" s="29">
        <v>97045308.010000005</v>
      </c>
      <c r="S203" s="26"/>
      <c r="T203" s="29">
        <v>3630000</v>
      </c>
      <c r="U203" s="36">
        <v>3.6999999999999998E-2</v>
      </c>
      <c r="X203" s="26" t="s">
        <v>186</v>
      </c>
    </row>
    <row r="204" spans="1:24" x14ac:dyDescent="0.35">
      <c r="A204" s="26" t="s">
        <v>720</v>
      </c>
      <c r="B204" s="32" t="s">
        <v>721</v>
      </c>
      <c r="C204" s="26" t="s">
        <v>722</v>
      </c>
      <c r="D204" s="26" t="s">
        <v>532</v>
      </c>
      <c r="E204" s="26" t="s">
        <v>162</v>
      </c>
      <c r="F204" s="26" t="s">
        <v>30</v>
      </c>
      <c r="G204" s="26" t="s">
        <v>30</v>
      </c>
      <c r="J204" s="26" t="s">
        <v>163</v>
      </c>
      <c r="L204" s="26" t="s">
        <v>164</v>
      </c>
      <c r="N204" s="28">
        <v>45200</v>
      </c>
      <c r="O204" s="28">
        <v>45291</v>
      </c>
      <c r="P204" s="26">
        <v>12</v>
      </c>
      <c r="Q204" s="35" t="s">
        <v>34</v>
      </c>
      <c r="R204" s="29">
        <v>196743000</v>
      </c>
      <c r="S204" s="26"/>
      <c r="T204" s="29">
        <v>58309200</v>
      </c>
      <c r="U204" s="36">
        <v>0.3</v>
      </c>
      <c r="X204" s="26" t="s">
        <v>67</v>
      </c>
    </row>
    <row r="205" spans="1:24" s="32" customFormat="1" ht="34" customHeight="1" x14ac:dyDescent="0.35">
      <c r="A205" s="32" t="s">
        <v>723</v>
      </c>
      <c r="B205" s="32" t="s">
        <v>724</v>
      </c>
      <c r="C205" s="32" t="s">
        <v>725</v>
      </c>
      <c r="D205" s="32" t="s">
        <v>726</v>
      </c>
      <c r="E205" s="32" t="s">
        <v>162</v>
      </c>
      <c r="F205" s="32" t="s">
        <v>30</v>
      </c>
      <c r="G205" s="32" t="s">
        <v>30</v>
      </c>
      <c r="J205" s="32" t="s">
        <v>163</v>
      </c>
      <c r="L205" s="32" t="s">
        <v>164</v>
      </c>
      <c r="N205" s="32">
        <v>45200</v>
      </c>
      <c r="O205" s="65">
        <v>45291</v>
      </c>
      <c r="P205" s="32">
        <v>12</v>
      </c>
      <c r="Q205" s="65" t="s">
        <v>49</v>
      </c>
      <c r="R205" s="64">
        <v>448206104</v>
      </c>
      <c r="T205" s="64">
        <v>0</v>
      </c>
      <c r="U205" s="32">
        <v>0</v>
      </c>
      <c r="X205" s="32" t="s">
        <v>165</v>
      </c>
    </row>
    <row r="206" spans="1:24" x14ac:dyDescent="0.35">
      <c r="A206" s="26" t="s">
        <v>1941</v>
      </c>
      <c r="B206" s="32" t="s">
        <v>1942</v>
      </c>
      <c r="C206" s="26" t="s">
        <v>1943</v>
      </c>
      <c r="D206" s="26" t="s">
        <v>909</v>
      </c>
      <c r="E206" s="26" t="s">
        <v>162</v>
      </c>
      <c r="F206" s="26" t="s">
        <v>30</v>
      </c>
      <c r="G206" s="26" t="s">
        <v>30</v>
      </c>
      <c r="J206" s="26" t="s">
        <v>146</v>
      </c>
      <c r="L206" s="26" t="s">
        <v>164</v>
      </c>
      <c r="N206" s="28">
        <v>45295</v>
      </c>
      <c r="O206" s="28" t="s">
        <v>680</v>
      </c>
      <c r="P206" s="26">
        <v>4</v>
      </c>
      <c r="Q206" s="35" t="s">
        <v>34</v>
      </c>
      <c r="R206" s="29">
        <v>93415308.010000005</v>
      </c>
      <c r="S206" s="26"/>
      <c r="T206" s="29">
        <v>2000000</v>
      </c>
      <c r="U206" s="36">
        <v>2.1000000000000001E-2</v>
      </c>
      <c r="X206" s="26" t="s">
        <v>186</v>
      </c>
    </row>
    <row r="207" spans="1:24" x14ac:dyDescent="0.35">
      <c r="A207" s="26" t="s">
        <v>1944</v>
      </c>
      <c r="B207" s="32" t="s">
        <v>1945</v>
      </c>
      <c r="C207" s="26" t="s">
        <v>1943</v>
      </c>
      <c r="D207" s="26" t="s">
        <v>909</v>
      </c>
      <c r="E207" s="26" t="s">
        <v>162</v>
      </c>
      <c r="F207" s="26" t="s">
        <v>30</v>
      </c>
      <c r="G207" s="26" t="s">
        <v>30</v>
      </c>
      <c r="J207" s="26" t="s">
        <v>146</v>
      </c>
      <c r="L207" s="26" t="s">
        <v>164</v>
      </c>
      <c r="N207" s="28">
        <v>45296</v>
      </c>
      <c r="O207" s="28" t="s">
        <v>1946</v>
      </c>
      <c r="P207" s="26">
        <v>4</v>
      </c>
      <c r="Q207" s="35" t="s">
        <v>34</v>
      </c>
      <c r="R207" s="29">
        <v>93005308.010000005</v>
      </c>
      <c r="S207" s="26"/>
      <c r="T207" s="29">
        <v>410000</v>
      </c>
      <c r="U207" s="36">
        <v>4.4000000000000003E-3</v>
      </c>
      <c r="X207" s="26" t="s">
        <v>186</v>
      </c>
    </row>
    <row r="208" spans="1:24" ht="29" x14ac:dyDescent="0.35">
      <c r="A208" s="26" t="s">
        <v>1947</v>
      </c>
      <c r="B208" s="32" t="s">
        <v>1948</v>
      </c>
      <c r="C208" s="26" t="s">
        <v>1949</v>
      </c>
      <c r="D208" s="26" t="s">
        <v>117</v>
      </c>
      <c r="E208" s="26" t="s">
        <v>162</v>
      </c>
      <c r="F208" s="26" t="s">
        <v>30</v>
      </c>
      <c r="G208" s="26" t="s">
        <v>30</v>
      </c>
      <c r="J208" s="26" t="s">
        <v>146</v>
      </c>
      <c r="L208" s="26" t="s">
        <v>164</v>
      </c>
      <c r="N208" s="28">
        <v>45295</v>
      </c>
      <c r="O208" s="28" t="s">
        <v>680</v>
      </c>
      <c r="P208" s="26">
        <v>4</v>
      </c>
      <c r="Q208" s="35" t="s">
        <v>34</v>
      </c>
      <c r="R208" s="29">
        <v>13224700</v>
      </c>
      <c r="S208" s="26"/>
      <c r="T208" s="29">
        <v>10000000</v>
      </c>
      <c r="U208" s="36">
        <v>0.75</v>
      </c>
      <c r="X208" s="26" t="s">
        <v>168</v>
      </c>
    </row>
    <row r="209" spans="1:24" x14ac:dyDescent="0.35">
      <c r="A209" s="26" t="s">
        <v>1950</v>
      </c>
      <c r="B209" s="32" t="s">
        <v>1951</v>
      </c>
      <c r="C209" s="26" t="s">
        <v>1952</v>
      </c>
      <c r="D209" s="26" t="s">
        <v>28</v>
      </c>
      <c r="E209" s="26" t="s">
        <v>162</v>
      </c>
      <c r="F209" s="26" t="s">
        <v>30</v>
      </c>
      <c r="G209" s="26" t="s">
        <v>30</v>
      </c>
      <c r="J209" s="26" t="s">
        <v>146</v>
      </c>
      <c r="L209" s="26" t="s">
        <v>164</v>
      </c>
      <c r="N209" s="28">
        <v>45295</v>
      </c>
      <c r="O209" s="28" t="s">
        <v>680</v>
      </c>
      <c r="P209" s="26">
        <v>4</v>
      </c>
      <c r="Q209" s="35" t="s">
        <v>34</v>
      </c>
      <c r="R209" s="29">
        <v>92340000</v>
      </c>
      <c r="S209" s="26"/>
      <c r="T209" s="29">
        <v>10000000</v>
      </c>
      <c r="U209" s="36">
        <v>0.109</v>
      </c>
      <c r="X209" s="26" t="s">
        <v>172</v>
      </c>
    </row>
    <row r="210" spans="1:24" x14ac:dyDescent="0.35">
      <c r="A210" s="26" t="s">
        <v>1953</v>
      </c>
      <c r="B210" s="32" t="s">
        <v>1954</v>
      </c>
      <c r="C210" s="26" t="s">
        <v>1955</v>
      </c>
      <c r="D210" s="26" t="s">
        <v>909</v>
      </c>
      <c r="E210" s="26" t="s">
        <v>162</v>
      </c>
      <c r="F210" s="26" t="s">
        <v>30</v>
      </c>
      <c r="G210" s="26" t="s">
        <v>30</v>
      </c>
      <c r="J210" s="26" t="s">
        <v>146</v>
      </c>
      <c r="L210" s="26" t="s">
        <v>164</v>
      </c>
      <c r="N210" s="28">
        <v>45295</v>
      </c>
      <c r="O210" s="28" t="s">
        <v>680</v>
      </c>
      <c r="P210" s="26">
        <v>4</v>
      </c>
      <c r="Q210" s="35" t="s">
        <v>34</v>
      </c>
      <c r="R210" s="29">
        <v>97045308.010000005</v>
      </c>
      <c r="S210" s="26"/>
      <c r="T210" s="29">
        <v>1000000</v>
      </c>
      <c r="U210" s="36">
        <v>1.03E-2</v>
      </c>
      <c r="X210" s="26" t="s">
        <v>186</v>
      </c>
    </row>
    <row r="211" spans="1:24" x14ac:dyDescent="0.35">
      <c r="A211" s="26" t="s">
        <v>1956</v>
      </c>
      <c r="B211" s="32" t="s">
        <v>1957</v>
      </c>
      <c r="C211" s="26" t="s">
        <v>1958</v>
      </c>
      <c r="D211" s="26" t="s">
        <v>909</v>
      </c>
      <c r="E211" s="26" t="s">
        <v>162</v>
      </c>
      <c r="F211" s="26" t="s">
        <v>30</v>
      </c>
      <c r="G211" s="26" t="s">
        <v>30</v>
      </c>
      <c r="J211" s="26" t="s">
        <v>146</v>
      </c>
      <c r="L211" s="26" t="s">
        <v>164</v>
      </c>
      <c r="N211" s="28">
        <v>45294</v>
      </c>
      <c r="O211" s="28" t="s">
        <v>701</v>
      </c>
      <c r="P211" s="26">
        <v>4</v>
      </c>
      <c r="Q211" s="35" t="s">
        <v>34</v>
      </c>
      <c r="R211" s="29">
        <v>41782150</v>
      </c>
      <c r="S211" s="26"/>
      <c r="T211" s="29">
        <v>12389430</v>
      </c>
      <c r="U211" s="36">
        <v>0.29699999999999999</v>
      </c>
      <c r="X211" s="26" t="s">
        <v>1959</v>
      </c>
    </row>
    <row r="212" spans="1:24" x14ac:dyDescent="0.35">
      <c r="A212" s="26" t="s">
        <v>160</v>
      </c>
      <c r="B212" s="32" t="s">
        <v>161</v>
      </c>
      <c r="C212" s="26" t="s">
        <v>161</v>
      </c>
      <c r="D212" s="26" t="s">
        <v>28</v>
      </c>
      <c r="E212" s="26" t="s">
        <v>162</v>
      </c>
      <c r="F212" s="26" t="s">
        <v>30</v>
      </c>
      <c r="G212" s="26" t="s">
        <v>30</v>
      </c>
      <c r="J212" s="26" t="s">
        <v>163</v>
      </c>
      <c r="L212" s="26" t="s">
        <v>164</v>
      </c>
      <c r="N212" s="28">
        <v>45293</v>
      </c>
      <c r="O212" s="28">
        <v>45658</v>
      </c>
      <c r="P212" s="26">
        <v>52</v>
      </c>
      <c r="Q212" s="35" t="s">
        <v>49</v>
      </c>
      <c r="R212" s="29">
        <v>98200000</v>
      </c>
      <c r="S212" s="26"/>
      <c r="T212" s="29">
        <v>0</v>
      </c>
      <c r="U212" s="36">
        <v>0</v>
      </c>
      <c r="X212" s="26" t="s">
        <v>165</v>
      </c>
    </row>
    <row r="213" spans="1:24" x14ac:dyDescent="0.35">
      <c r="A213" s="26" t="s">
        <v>166</v>
      </c>
      <c r="B213" s="32" t="s">
        <v>167</v>
      </c>
      <c r="C213" s="26" t="s">
        <v>167</v>
      </c>
      <c r="D213" s="26" t="s">
        <v>117</v>
      </c>
      <c r="E213" s="26" t="s">
        <v>162</v>
      </c>
      <c r="F213" s="26" t="s">
        <v>30</v>
      </c>
      <c r="G213" s="26" t="s">
        <v>30</v>
      </c>
      <c r="J213" s="26" t="s">
        <v>163</v>
      </c>
      <c r="L213" s="26" t="s">
        <v>32</v>
      </c>
      <c r="N213" s="28">
        <v>45294</v>
      </c>
      <c r="O213" s="28">
        <v>45659</v>
      </c>
      <c r="P213" s="26">
        <v>52</v>
      </c>
      <c r="Q213" s="35" t="s">
        <v>49</v>
      </c>
      <c r="R213" s="29">
        <v>130891000</v>
      </c>
      <c r="S213" s="26"/>
      <c r="T213" s="29">
        <v>0</v>
      </c>
      <c r="U213" s="36">
        <v>0</v>
      </c>
      <c r="X213" s="26" t="s">
        <v>168</v>
      </c>
    </row>
    <row r="214" spans="1:24" x14ac:dyDescent="0.35">
      <c r="A214" s="26" t="s">
        <v>169</v>
      </c>
      <c r="B214" s="32" t="s">
        <v>170</v>
      </c>
      <c r="C214" s="26" t="s">
        <v>170</v>
      </c>
      <c r="D214" s="26" t="s">
        <v>117</v>
      </c>
      <c r="E214" s="26" t="s">
        <v>162</v>
      </c>
      <c r="F214" s="26" t="s">
        <v>30</v>
      </c>
      <c r="G214" s="26" t="s">
        <v>30</v>
      </c>
      <c r="J214" s="26" t="s">
        <v>163</v>
      </c>
      <c r="L214" s="26" t="s">
        <v>164</v>
      </c>
      <c r="N214" s="28">
        <v>45292</v>
      </c>
      <c r="O214" s="28" t="s">
        <v>171</v>
      </c>
      <c r="P214" s="26">
        <v>28</v>
      </c>
      <c r="Q214" s="35" t="s">
        <v>34</v>
      </c>
      <c r="R214" s="29">
        <v>175912000</v>
      </c>
      <c r="S214" s="26"/>
      <c r="T214" s="29">
        <v>225144620</v>
      </c>
      <c r="U214" s="36">
        <v>1.22</v>
      </c>
      <c r="X214" s="26" t="s">
        <v>172</v>
      </c>
    </row>
    <row r="215" spans="1:24" x14ac:dyDescent="0.35">
      <c r="A215" s="26" t="s">
        <v>173</v>
      </c>
      <c r="B215" s="32" t="s">
        <v>174</v>
      </c>
      <c r="C215" s="26" t="s">
        <v>174</v>
      </c>
      <c r="D215" s="26" t="s">
        <v>175</v>
      </c>
      <c r="E215" s="26" t="s">
        <v>162</v>
      </c>
      <c r="F215" s="26" t="s">
        <v>30</v>
      </c>
      <c r="G215" s="26" t="s">
        <v>30</v>
      </c>
      <c r="J215" s="26" t="s">
        <v>163</v>
      </c>
      <c r="L215" s="26" t="s">
        <v>163</v>
      </c>
      <c r="N215" s="28">
        <v>45296</v>
      </c>
      <c r="O215" s="28">
        <v>45661</v>
      </c>
      <c r="P215" s="26">
        <v>52</v>
      </c>
      <c r="Q215" s="35" t="s">
        <v>34</v>
      </c>
      <c r="R215" s="29">
        <v>202000000</v>
      </c>
      <c r="S215" s="26"/>
      <c r="T215" s="29">
        <v>13514700</v>
      </c>
      <c r="U215" s="36">
        <v>6.6000000000000003E-2</v>
      </c>
      <c r="X215" s="26" t="s">
        <v>165</v>
      </c>
    </row>
    <row r="216" spans="1:24" x14ac:dyDescent="0.35">
      <c r="A216" s="26" t="s">
        <v>176</v>
      </c>
      <c r="B216" s="32" t="s">
        <v>177</v>
      </c>
      <c r="C216" s="26" t="s">
        <v>177</v>
      </c>
      <c r="D216" s="26" t="s">
        <v>117</v>
      </c>
      <c r="E216" s="26" t="s">
        <v>162</v>
      </c>
      <c r="F216" s="26" t="s">
        <v>30</v>
      </c>
      <c r="G216" s="26" t="s">
        <v>30</v>
      </c>
      <c r="J216" s="26" t="s">
        <v>163</v>
      </c>
      <c r="L216" s="26" t="s">
        <v>163</v>
      </c>
      <c r="N216" s="28">
        <v>45297</v>
      </c>
      <c r="O216" s="28">
        <v>45662</v>
      </c>
      <c r="P216" s="26">
        <v>52</v>
      </c>
      <c r="Q216" s="35" t="s">
        <v>49</v>
      </c>
      <c r="R216" s="29">
        <v>250000000</v>
      </c>
      <c r="S216" s="26"/>
      <c r="T216" s="29">
        <v>0</v>
      </c>
      <c r="U216" s="36">
        <v>0</v>
      </c>
      <c r="X216" s="26" t="s">
        <v>165</v>
      </c>
    </row>
    <row r="217" spans="1:24" x14ac:dyDescent="0.35">
      <c r="A217" s="26" t="s">
        <v>178</v>
      </c>
      <c r="B217" s="32" t="s">
        <v>179</v>
      </c>
      <c r="C217" s="26" t="s">
        <v>179</v>
      </c>
      <c r="D217" s="26" t="s">
        <v>28</v>
      </c>
      <c r="E217" s="26" t="s">
        <v>162</v>
      </c>
      <c r="F217" s="26" t="s">
        <v>30</v>
      </c>
      <c r="G217" s="26" t="s">
        <v>30</v>
      </c>
      <c r="J217" s="26" t="s">
        <v>31</v>
      </c>
      <c r="L217" s="26" t="s">
        <v>32</v>
      </c>
      <c r="N217" s="28">
        <v>45298</v>
      </c>
      <c r="O217" s="28">
        <v>45663</v>
      </c>
      <c r="P217" s="26">
        <v>52</v>
      </c>
      <c r="Q217" s="35" t="s">
        <v>49</v>
      </c>
      <c r="R217" s="29">
        <v>240601772</v>
      </c>
      <c r="S217" s="26"/>
      <c r="T217" s="29">
        <v>0</v>
      </c>
      <c r="U217" s="36">
        <v>0</v>
      </c>
      <c r="X217" s="26" t="s">
        <v>165</v>
      </c>
    </row>
    <row r="218" spans="1:24" x14ac:dyDescent="0.35">
      <c r="A218" s="26" t="s">
        <v>180</v>
      </c>
      <c r="B218" s="32" t="s">
        <v>181</v>
      </c>
      <c r="C218" s="26" t="s">
        <v>181</v>
      </c>
      <c r="D218" s="26" t="s">
        <v>28</v>
      </c>
      <c r="E218" s="26" t="s">
        <v>162</v>
      </c>
      <c r="F218" s="26" t="s">
        <v>30</v>
      </c>
      <c r="G218" s="26" t="s">
        <v>30</v>
      </c>
      <c r="J218" s="26" t="s">
        <v>163</v>
      </c>
      <c r="L218" s="26" t="s">
        <v>40</v>
      </c>
      <c r="N218" s="28">
        <v>45299</v>
      </c>
      <c r="O218" s="28">
        <v>45664</v>
      </c>
      <c r="P218" s="26">
        <v>52</v>
      </c>
      <c r="Q218" s="35" t="s">
        <v>49</v>
      </c>
      <c r="R218" s="29">
        <v>150503000</v>
      </c>
      <c r="S218" s="26"/>
      <c r="T218" s="29">
        <v>10848890.6</v>
      </c>
      <c r="U218" s="36">
        <v>7.0000000000000007E-2</v>
      </c>
      <c r="X218" s="26" t="s">
        <v>168</v>
      </c>
    </row>
    <row r="219" spans="1:24" x14ac:dyDescent="0.35">
      <c r="A219" s="26" t="s">
        <v>182</v>
      </c>
      <c r="B219" s="32" t="s">
        <v>183</v>
      </c>
      <c r="C219" s="26" t="s">
        <v>183</v>
      </c>
      <c r="D219" s="26" t="s">
        <v>117</v>
      </c>
      <c r="E219" s="26" t="s">
        <v>162</v>
      </c>
      <c r="F219" s="26" t="s">
        <v>30</v>
      </c>
      <c r="G219" s="26" t="s">
        <v>30</v>
      </c>
      <c r="J219" s="26" t="s">
        <v>163</v>
      </c>
      <c r="L219" s="26" t="s">
        <v>32</v>
      </c>
      <c r="N219" s="28">
        <v>45300</v>
      </c>
      <c r="O219" s="28">
        <v>45665</v>
      </c>
      <c r="P219" s="26">
        <v>52</v>
      </c>
      <c r="Q219" s="35" t="s">
        <v>49</v>
      </c>
      <c r="R219" s="29">
        <v>100000000</v>
      </c>
      <c r="S219" s="26"/>
      <c r="T219" s="29">
        <v>0</v>
      </c>
      <c r="U219" s="36">
        <v>0</v>
      </c>
      <c r="X219" s="26" t="s">
        <v>183</v>
      </c>
    </row>
    <row r="220" spans="1:24" x14ac:dyDescent="0.35">
      <c r="A220" s="26" t="s">
        <v>184</v>
      </c>
      <c r="B220" s="32" t="s">
        <v>185</v>
      </c>
      <c r="C220" s="26" t="s">
        <v>185</v>
      </c>
      <c r="D220" s="26" t="s">
        <v>117</v>
      </c>
      <c r="E220" s="26" t="s">
        <v>162</v>
      </c>
      <c r="F220" s="26" t="s">
        <v>30</v>
      </c>
      <c r="G220" s="26" t="s">
        <v>30</v>
      </c>
      <c r="J220" s="26" t="s">
        <v>163</v>
      </c>
      <c r="L220" s="26" t="s">
        <v>32</v>
      </c>
      <c r="N220" s="28">
        <v>45301</v>
      </c>
      <c r="O220" s="28">
        <v>45666</v>
      </c>
      <c r="P220" s="26">
        <v>52</v>
      </c>
      <c r="Q220" s="35" t="s">
        <v>49</v>
      </c>
      <c r="R220" s="29">
        <v>81129798</v>
      </c>
      <c r="S220" s="26"/>
      <c r="T220" s="29">
        <v>0</v>
      </c>
      <c r="U220" s="36">
        <v>0</v>
      </c>
      <c r="X220" s="26" t="s">
        <v>186</v>
      </c>
    </row>
    <row r="221" spans="1:24" x14ac:dyDescent="0.35">
      <c r="A221" s="26" t="s">
        <v>187</v>
      </c>
      <c r="B221" s="32" t="s">
        <v>188</v>
      </c>
      <c r="C221" s="26" t="s">
        <v>188</v>
      </c>
      <c r="D221" s="26" t="s">
        <v>28</v>
      </c>
      <c r="E221" s="26" t="s">
        <v>162</v>
      </c>
      <c r="F221" s="26" t="s">
        <v>30</v>
      </c>
      <c r="G221" s="26" t="s">
        <v>30</v>
      </c>
      <c r="J221" s="26" t="s">
        <v>163</v>
      </c>
      <c r="L221" s="26" t="s">
        <v>164</v>
      </c>
      <c r="N221" s="28">
        <v>45302</v>
      </c>
      <c r="O221" s="28">
        <v>45667</v>
      </c>
      <c r="P221" s="26">
        <v>52</v>
      </c>
      <c r="Q221" s="35" t="s">
        <v>34</v>
      </c>
      <c r="R221" s="29">
        <v>300586524.72000003</v>
      </c>
      <c r="S221" s="26"/>
      <c r="T221" s="29">
        <v>40000000</v>
      </c>
      <c r="U221" s="36">
        <v>0.1331</v>
      </c>
      <c r="X221" s="26" t="s">
        <v>189</v>
      </c>
    </row>
    <row r="222" spans="1:24" x14ac:dyDescent="0.35">
      <c r="A222" s="26" t="s">
        <v>190</v>
      </c>
      <c r="B222" s="32" t="s">
        <v>191</v>
      </c>
      <c r="C222" s="26" t="s">
        <v>191</v>
      </c>
      <c r="D222" s="26" t="s">
        <v>28</v>
      </c>
      <c r="E222" s="26" t="s">
        <v>162</v>
      </c>
      <c r="F222" s="26" t="s">
        <v>30</v>
      </c>
      <c r="G222" s="26" t="s">
        <v>30</v>
      </c>
      <c r="J222" s="26" t="s">
        <v>163</v>
      </c>
      <c r="L222" s="26" t="s">
        <v>164</v>
      </c>
      <c r="N222" s="28">
        <v>45303</v>
      </c>
      <c r="O222" s="28">
        <v>45668</v>
      </c>
      <c r="P222" s="26">
        <v>52</v>
      </c>
      <c r="Q222" s="35" t="s">
        <v>49</v>
      </c>
      <c r="R222" s="29">
        <v>500000000</v>
      </c>
      <c r="S222" s="26"/>
      <c r="T222" s="29">
        <v>0</v>
      </c>
      <c r="U222" s="36">
        <v>0</v>
      </c>
      <c r="X222" s="26" t="s">
        <v>165</v>
      </c>
    </row>
    <row r="223" spans="1:24" x14ac:dyDescent="0.35">
      <c r="A223" s="26" t="s">
        <v>192</v>
      </c>
      <c r="B223" s="32" t="s">
        <v>193</v>
      </c>
      <c r="C223" s="26" t="s">
        <v>193</v>
      </c>
      <c r="D223" s="26" t="s">
        <v>117</v>
      </c>
      <c r="E223" s="26" t="s">
        <v>162</v>
      </c>
      <c r="F223" s="26" t="s">
        <v>30</v>
      </c>
      <c r="G223" s="26" t="s">
        <v>30</v>
      </c>
      <c r="J223" s="26" t="s">
        <v>194</v>
      </c>
      <c r="L223" s="26" t="s">
        <v>53</v>
      </c>
      <c r="N223" s="28">
        <v>45304</v>
      </c>
      <c r="O223" s="28">
        <v>45669</v>
      </c>
      <c r="P223" s="26">
        <v>52</v>
      </c>
      <c r="Q223" s="35" t="s">
        <v>49</v>
      </c>
      <c r="R223" s="29">
        <v>105230000</v>
      </c>
      <c r="S223" s="26"/>
      <c r="T223" s="29">
        <v>0</v>
      </c>
      <c r="U223" s="36">
        <v>0</v>
      </c>
      <c r="X223" s="26" t="s">
        <v>195</v>
      </c>
    </row>
    <row r="224" spans="1:24" x14ac:dyDescent="0.35">
      <c r="A224" s="26" t="s">
        <v>196</v>
      </c>
      <c r="B224" s="32" t="s">
        <v>197</v>
      </c>
      <c r="C224" s="26" t="s">
        <v>197</v>
      </c>
      <c r="D224" s="26" t="s">
        <v>198</v>
      </c>
      <c r="E224" s="26" t="s">
        <v>162</v>
      </c>
      <c r="F224" s="26" t="s">
        <v>30</v>
      </c>
      <c r="G224" s="26" t="s">
        <v>30</v>
      </c>
      <c r="J224" s="26" t="s">
        <v>194</v>
      </c>
      <c r="L224" s="26" t="s">
        <v>199</v>
      </c>
      <c r="N224" s="28">
        <v>45305</v>
      </c>
      <c r="O224" s="28">
        <v>45670</v>
      </c>
      <c r="P224" s="26">
        <v>52</v>
      </c>
      <c r="Q224" s="35" t="s">
        <v>34</v>
      </c>
      <c r="R224" s="29">
        <v>215000000</v>
      </c>
      <c r="S224" s="26"/>
      <c r="T224" s="29">
        <v>10000000</v>
      </c>
      <c r="U224" s="36">
        <v>4.5999999999999999E-2</v>
      </c>
      <c r="X224" s="26" t="s">
        <v>200</v>
      </c>
    </row>
    <row r="225" spans="1:24" x14ac:dyDescent="0.35">
      <c r="A225" s="26" t="s">
        <v>201</v>
      </c>
      <c r="B225" s="32" t="s">
        <v>202</v>
      </c>
      <c r="C225" s="26" t="s">
        <v>202</v>
      </c>
      <c r="D225" s="26" t="s">
        <v>28</v>
      </c>
      <c r="E225" s="26" t="s">
        <v>162</v>
      </c>
      <c r="F225" s="26" t="s">
        <v>30</v>
      </c>
      <c r="G225" s="26" t="s">
        <v>30</v>
      </c>
      <c r="J225" s="26" t="s">
        <v>163</v>
      </c>
      <c r="L225" s="26" t="s">
        <v>164</v>
      </c>
      <c r="N225" s="28">
        <v>45306</v>
      </c>
      <c r="O225" s="28">
        <v>45671</v>
      </c>
      <c r="P225" s="26">
        <v>52</v>
      </c>
      <c r="Q225" s="35" t="s">
        <v>49</v>
      </c>
      <c r="R225" s="29">
        <v>3118642958.7199998</v>
      </c>
      <c r="S225" s="26"/>
      <c r="T225" s="29">
        <v>0</v>
      </c>
      <c r="U225" s="36">
        <v>0</v>
      </c>
      <c r="X225" s="26" t="s">
        <v>165</v>
      </c>
    </row>
    <row r="226" spans="1:24" x14ac:dyDescent="0.35">
      <c r="A226" s="26" t="s">
        <v>203</v>
      </c>
      <c r="B226" s="32" t="s">
        <v>204</v>
      </c>
      <c r="C226" s="26" t="s">
        <v>204</v>
      </c>
      <c r="D226" s="26" t="s">
        <v>117</v>
      </c>
      <c r="E226" s="26" t="s">
        <v>162</v>
      </c>
      <c r="F226" s="26" t="s">
        <v>30</v>
      </c>
      <c r="G226" s="26" t="s">
        <v>30</v>
      </c>
      <c r="J226" s="26" t="s">
        <v>163</v>
      </c>
      <c r="L226" s="26" t="s">
        <v>32</v>
      </c>
      <c r="N226" s="28">
        <v>45307</v>
      </c>
      <c r="O226" s="28">
        <v>45672</v>
      </c>
      <c r="P226" s="26">
        <v>52</v>
      </c>
      <c r="Q226" s="35" t="s">
        <v>49</v>
      </c>
      <c r="R226" s="29">
        <v>245349000</v>
      </c>
      <c r="S226" s="26"/>
      <c r="T226" s="29">
        <v>0</v>
      </c>
      <c r="U226" s="36">
        <v>0</v>
      </c>
      <c r="X226" s="26" t="s">
        <v>168</v>
      </c>
    </row>
    <row r="227" spans="1:24" x14ac:dyDescent="0.35">
      <c r="A227" s="26" t="s">
        <v>205</v>
      </c>
      <c r="B227" s="32" t="s">
        <v>206</v>
      </c>
      <c r="C227" s="26" t="s">
        <v>206</v>
      </c>
      <c r="D227" s="26" t="s">
        <v>117</v>
      </c>
      <c r="E227" s="26" t="s">
        <v>162</v>
      </c>
      <c r="F227" s="26" t="s">
        <v>30</v>
      </c>
      <c r="G227" s="26" t="s">
        <v>30</v>
      </c>
      <c r="J227" s="26" t="s">
        <v>163</v>
      </c>
      <c r="L227" s="26" t="s">
        <v>164</v>
      </c>
      <c r="N227" s="28">
        <v>45308</v>
      </c>
      <c r="O227" s="28">
        <v>45673</v>
      </c>
      <c r="P227" s="26">
        <v>52</v>
      </c>
      <c r="Q227" s="35" t="s">
        <v>49</v>
      </c>
      <c r="R227" s="29">
        <v>5286694340</v>
      </c>
      <c r="S227" s="26"/>
      <c r="T227" s="29">
        <v>5286694340</v>
      </c>
      <c r="U227" s="36">
        <v>1</v>
      </c>
      <c r="X227" s="26" t="s">
        <v>183</v>
      </c>
    </row>
    <row r="228" spans="1:24" x14ac:dyDescent="0.35">
      <c r="A228" s="26" t="s">
        <v>207</v>
      </c>
      <c r="B228" s="32" t="s">
        <v>208</v>
      </c>
      <c r="C228" s="26" t="s">
        <v>209</v>
      </c>
      <c r="D228" s="26" t="s">
        <v>117</v>
      </c>
      <c r="E228" s="26" t="s">
        <v>162</v>
      </c>
      <c r="F228" s="26" t="s">
        <v>30</v>
      </c>
      <c r="G228" s="26" t="s">
        <v>30</v>
      </c>
      <c r="J228" s="26" t="s">
        <v>163</v>
      </c>
      <c r="L228" s="26" t="s">
        <v>164</v>
      </c>
      <c r="N228" s="28">
        <v>44938</v>
      </c>
      <c r="O228" s="28" t="s">
        <v>210</v>
      </c>
      <c r="P228" s="26">
        <v>32</v>
      </c>
      <c r="Q228" s="35" t="s">
        <v>211</v>
      </c>
      <c r="R228" s="29">
        <v>234000000</v>
      </c>
      <c r="S228" s="26"/>
      <c r="T228" s="29">
        <v>234000000</v>
      </c>
      <c r="U228" s="36">
        <v>1</v>
      </c>
      <c r="X228" s="26" t="s">
        <v>212</v>
      </c>
    </row>
    <row r="229" spans="1:24" x14ac:dyDescent="0.35">
      <c r="A229" s="26" t="s">
        <v>213</v>
      </c>
      <c r="B229" s="32" t="s">
        <v>214</v>
      </c>
      <c r="C229" s="26" t="s">
        <v>214</v>
      </c>
      <c r="D229" s="26" t="s">
        <v>117</v>
      </c>
      <c r="E229" s="26" t="s">
        <v>162</v>
      </c>
      <c r="F229" s="26" t="s">
        <v>30</v>
      </c>
      <c r="G229" s="26" t="s">
        <v>30</v>
      </c>
      <c r="J229" s="26" t="s">
        <v>163</v>
      </c>
      <c r="L229" s="26" t="s">
        <v>164</v>
      </c>
      <c r="N229" s="28">
        <v>45310</v>
      </c>
      <c r="O229" s="28">
        <v>45400</v>
      </c>
      <c r="P229" s="26">
        <v>52</v>
      </c>
      <c r="Q229" s="35" t="s">
        <v>34</v>
      </c>
      <c r="R229" s="29">
        <v>13224700</v>
      </c>
      <c r="S229" s="26"/>
      <c r="T229" s="29">
        <v>8196610</v>
      </c>
      <c r="U229" s="36">
        <v>0.61899999999999999</v>
      </c>
      <c r="X229" s="26" t="s">
        <v>212</v>
      </c>
    </row>
    <row r="230" spans="1:24" x14ac:dyDescent="0.35">
      <c r="A230" s="26" t="s">
        <v>215</v>
      </c>
      <c r="B230" s="32" t="s">
        <v>216</v>
      </c>
      <c r="C230" s="26" t="s">
        <v>216</v>
      </c>
      <c r="D230" s="26" t="s">
        <v>117</v>
      </c>
      <c r="E230" s="26" t="s">
        <v>162</v>
      </c>
      <c r="F230" s="26" t="s">
        <v>30</v>
      </c>
      <c r="G230" s="26" t="s">
        <v>30</v>
      </c>
      <c r="J230" s="26" t="s">
        <v>163</v>
      </c>
      <c r="L230" s="26" t="s">
        <v>78</v>
      </c>
      <c r="N230" s="28">
        <v>45311</v>
      </c>
      <c r="O230" s="28">
        <v>45676</v>
      </c>
      <c r="P230" s="26">
        <v>52</v>
      </c>
      <c r="Q230" s="35" t="s">
        <v>49</v>
      </c>
      <c r="R230" s="29">
        <v>150000000</v>
      </c>
      <c r="S230" s="26"/>
      <c r="T230" s="29">
        <v>0</v>
      </c>
      <c r="U230" s="36">
        <v>0</v>
      </c>
      <c r="X230" s="26" t="s">
        <v>67</v>
      </c>
    </row>
    <row r="231" spans="1:24" x14ac:dyDescent="0.35">
      <c r="A231" s="26" t="s">
        <v>217</v>
      </c>
      <c r="B231" s="32" t="s">
        <v>218</v>
      </c>
      <c r="C231" s="26" t="s">
        <v>218</v>
      </c>
      <c r="D231" s="26" t="s">
        <v>117</v>
      </c>
      <c r="E231" s="26" t="s">
        <v>162</v>
      </c>
      <c r="F231" s="26" t="s">
        <v>30</v>
      </c>
      <c r="G231" s="26" t="s">
        <v>30</v>
      </c>
      <c r="J231" s="26" t="s">
        <v>163</v>
      </c>
      <c r="L231" s="26" t="s">
        <v>164</v>
      </c>
      <c r="N231" s="28">
        <v>45678</v>
      </c>
      <c r="O231" s="28" t="s">
        <v>219</v>
      </c>
      <c r="P231" s="26">
        <v>52</v>
      </c>
      <c r="Q231" s="35" t="s">
        <v>34</v>
      </c>
      <c r="R231" s="29">
        <v>3915580800</v>
      </c>
      <c r="S231" s="26"/>
      <c r="T231" s="29">
        <v>1500000000</v>
      </c>
      <c r="U231" s="36">
        <v>0.38</v>
      </c>
      <c r="X231" s="26" t="s">
        <v>186</v>
      </c>
    </row>
    <row r="232" spans="1:24" x14ac:dyDescent="0.35">
      <c r="A232" s="26" t="s">
        <v>1766</v>
      </c>
      <c r="B232" s="32" t="s">
        <v>1767</v>
      </c>
      <c r="C232" s="26" t="s">
        <v>1768</v>
      </c>
      <c r="D232" s="26" t="s">
        <v>117</v>
      </c>
      <c r="E232" s="26" t="s">
        <v>162</v>
      </c>
      <c r="F232" s="26" t="s">
        <v>30</v>
      </c>
      <c r="G232" s="26" t="s">
        <v>30</v>
      </c>
      <c r="J232" s="26" t="s">
        <v>146</v>
      </c>
      <c r="L232" s="26" t="s">
        <v>164</v>
      </c>
      <c r="N232" s="28">
        <v>44935</v>
      </c>
      <c r="O232" s="28" t="s">
        <v>33</v>
      </c>
      <c r="P232" s="26">
        <v>60</v>
      </c>
      <c r="Q232" s="35" t="s">
        <v>34</v>
      </c>
      <c r="R232" s="29">
        <v>883548000</v>
      </c>
      <c r="S232" s="26"/>
      <c r="T232" s="29">
        <v>542109500</v>
      </c>
      <c r="U232" s="36">
        <v>0.61</v>
      </c>
      <c r="X232" s="26" t="s">
        <v>186</v>
      </c>
    </row>
    <row r="233" spans="1:24" x14ac:dyDescent="0.35">
      <c r="A233" s="26" t="s">
        <v>1769</v>
      </c>
      <c r="B233" s="32" t="s">
        <v>1770</v>
      </c>
      <c r="C233" s="26" t="s">
        <v>1771</v>
      </c>
      <c r="D233" s="26" t="s">
        <v>303</v>
      </c>
      <c r="E233" s="26" t="s">
        <v>162</v>
      </c>
      <c r="F233" s="26" t="s">
        <v>30</v>
      </c>
      <c r="G233" s="26" t="s">
        <v>30</v>
      </c>
      <c r="J233" s="26" t="s">
        <v>146</v>
      </c>
      <c r="L233" s="26" t="s">
        <v>164</v>
      </c>
      <c r="N233" s="28">
        <v>44967</v>
      </c>
      <c r="O233" s="28" t="s">
        <v>1722</v>
      </c>
      <c r="P233" s="26">
        <v>12</v>
      </c>
      <c r="Q233" s="35" t="s">
        <v>211</v>
      </c>
      <c r="R233" s="29">
        <v>230000000</v>
      </c>
      <c r="S233" s="26"/>
      <c r="T233" s="29">
        <v>230000000</v>
      </c>
      <c r="U233" s="36">
        <v>1</v>
      </c>
      <c r="X233" s="26" t="s">
        <v>186</v>
      </c>
    </row>
    <row r="234" spans="1:24" x14ac:dyDescent="0.35">
      <c r="A234" s="26" t="s">
        <v>1966</v>
      </c>
      <c r="B234" s="32" t="s">
        <v>1967</v>
      </c>
      <c r="C234" s="26" t="s">
        <v>1968</v>
      </c>
      <c r="D234" s="26" t="s">
        <v>28</v>
      </c>
      <c r="E234" s="26" t="s">
        <v>162</v>
      </c>
      <c r="F234" s="26" t="s">
        <v>30</v>
      </c>
      <c r="G234" s="26" t="s">
        <v>30</v>
      </c>
      <c r="J234" s="26" t="s">
        <v>146</v>
      </c>
      <c r="L234" s="26" t="s">
        <v>164</v>
      </c>
      <c r="N234" s="28">
        <v>45292</v>
      </c>
      <c r="O234" s="28" t="s">
        <v>33</v>
      </c>
      <c r="P234" s="26">
        <v>52</v>
      </c>
      <c r="Q234" s="35" t="s">
        <v>34</v>
      </c>
      <c r="R234" s="29">
        <v>500873808.51999998</v>
      </c>
      <c r="S234" s="26"/>
      <c r="T234" s="29">
        <v>36285000</v>
      </c>
      <c r="U234" s="36">
        <v>7.0000000000000007E-2</v>
      </c>
      <c r="X234" s="26" t="s">
        <v>1969</v>
      </c>
    </row>
    <row r="235" spans="1:24" x14ac:dyDescent="0.35">
      <c r="A235" s="26" t="s">
        <v>1970</v>
      </c>
      <c r="B235" s="32" t="s">
        <v>1971</v>
      </c>
      <c r="C235" s="26" t="s">
        <v>1972</v>
      </c>
      <c r="D235" s="26" t="s">
        <v>28</v>
      </c>
      <c r="E235" s="26" t="s">
        <v>162</v>
      </c>
      <c r="F235" s="26" t="s">
        <v>30</v>
      </c>
      <c r="G235" s="26" t="s">
        <v>30</v>
      </c>
      <c r="J235" s="26" t="s">
        <v>146</v>
      </c>
      <c r="L235" s="26" t="s">
        <v>199</v>
      </c>
      <c r="N235" s="28">
        <v>45298</v>
      </c>
      <c r="O235" s="28" t="s">
        <v>1973</v>
      </c>
      <c r="P235" s="26">
        <v>12</v>
      </c>
      <c r="Q235" s="35" t="s">
        <v>211</v>
      </c>
      <c r="R235" s="29">
        <v>152775500</v>
      </c>
      <c r="S235" s="26"/>
      <c r="T235" s="29">
        <v>152775500</v>
      </c>
      <c r="U235" s="36">
        <v>1</v>
      </c>
      <c r="X235" s="26" t="s">
        <v>186</v>
      </c>
    </row>
    <row r="236" spans="1:24" x14ac:dyDescent="0.35">
      <c r="A236" s="26" t="s">
        <v>1974</v>
      </c>
      <c r="B236" s="32" t="s">
        <v>1975</v>
      </c>
      <c r="C236" s="26" t="s">
        <v>1976</v>
      </c>
      <c r="D236" s="26" t="s">
        <v>28</v>
      </c>
      <c r="E236" s="26" t="s">
        <v>162</v>
      </c>
      <c r="F236" s="26" t="s">
        <v>30</v>
      </c>
      <c r="G236" s="26" t="s">
        <v>30</v>
      </c>
      <c r="J236" s="26" t="s">
        <v>146</v>
      </c>
      <c r="L236" s="26" t="s">
        <v>164</v>
      </c>
      <c r="N236" s="28">
        <v>45292</v>
      </c>
      <c r="O236" s="28" t="s">
        <v>171</v>
      </c>
      <c r="P236" s="26">
        <v>28</v>
      </c>
      <c r="Q236" s="35" t="s">
        <v>34</v>
      </c>
      <c r="R236" s="29">
        <v>50218000</v>
      </c>
      <c r="S236" s="26"/>
      <c r="T236" s="29">
        <v>48575500</v>
      </c>
      <c r="U236" s="36">
        <v>0.96699999999999997</v>
      </c>
      <c r="X236" s="26" t="s">
        <v>1977</v>
      </c>
    </row>
    <row r="237" spans="1:24" x14ac:dyDescent="0.35">
      <c r="A237" s="26" t="s">
        <v>1978</v>
      </c>
      <c r="B237" s="32" t="s">
        <v>1979</v>
      </c>
      <c r="C237" s="26" t="s">
        <v>1980</v>
      </c>
      <c r="D237" s="26" t="s">
        <v>909</v>
      </c>
      <c r="E237" s="26" t="s">
        <v>162</v>
      </c>
      <c r="F237" s="26" t="s">
        <v>30</v>
      </c>
      <c r="G237" s="26" t="s">
        <v>30</v>
      </c>
      <c r="J237" s="26" t="s">
        <v>146</v>
      </c>
      <c r="L237" s="26" t="s">
        <v>164</v>
      </c>
      <c r="N237" s="28">
        <v>45292</v>
      </c>
      <c r="O237" s="28" t="s">
        <v>33</v>
      </c>
      <c r="P237" s="26">
        <v>52</v>
      </c>
      <c r="Q237" s="35" t="s">
        <v>34</v>
      </c>
      <c r="R237" s="29">
        <v>376290000</v>
      </c>
      <c r="S237" s="26"/>
      <c r="T237" s="29">
        <v>282376234.51999998</v>
      </c>
      <c r="U237" s="36">
        <v>0.75</v>
      </c>
      <c r="X237" s="26" t="s">
        <v>186</v>
      </c>
    </row>
    <row r="238" spans="1:24" x14ac:dyDescent="0.35">
      <c r="A238" s="26" t="s">
        <v>1981</v>
      </c>
      <c r="B238" s="32" t="s">
        <v>1982</v>
      </c>
      <c r="C238" s="26" t="s">
        <v>1983</v>
      </c>
      <c r="D238" s="26" t="s">
        <v>303</v>
      </c>
      <c r="E238" s="26" t="s">
        <v>162</v>
      </c>
      <c r="F238" s="26" t="s">
        <v>30</v>
      </c>
      <c r="G238" s="26" t="s">
        <v>30</v>
      </c>
      <c r="J238" s="26" t="s">
        <v>146</v>
      </c>
      <c r="L238" s="26" t="s">
        <v>164</v>
      </c>
      <c r="N238" s="28">
        <v>45301</v>
      </c>
      <c r="O238" s="28" t="s">
        <v>210</v>
      </c>
      <c r="P238" s="26">
        <v>4</v>
      </c>
      <c r="Q238" s="35" t="s">
        <v>211</v>
      </c>
      <c r="R238" s="29">
        <v>199880000</v>
      </c>
      <c r="S238" s="26"/>
      <c r="T238" s="29">
        <v>199880000</v>
      </c>
      <c r="U238" s="36">
        <v>1</v>
      </c>
      <c r="X238" s="26" t="s">
        <v>1984</v>
      </c>
    </row>
    <row r="239" spans="1:24" x14ac:dyDescent="0.35">
      <c r="A239" s="26" t="s">
        <v>1985</v>
      </c>
      <c r="B239" s="32" t="s">
        <v>1986</v>
      </c>
      <c r="C239" s="26" t="s">
        <v>1987</v>
      </c>
      <c r="D239" s="26" t="s">
        <v>28</v>
      </c>
      <c r="E239" s="26" t="s">
        <v>162</v>
      </c>
      <c r="F239" s="26" t="s">
        <v>30</v>
      </c>
      <c r="G239" s="26" t="s">
        <v>30</v>
      </c>
      <c r="J239" s="26" t="s">
        <v>146</v>
      </c>
      <c r="L239" s="26" t="s">
        <v>164</v>
      </c>
      <c r="N239" s="28">
        <v>45301</v>
      </c>
      <c r="O239" s="28" t="s">
        <v>210</v>
      </c>
      <c r="P239" s="26">
        <v>4</v>
      </c>
      <c r="Q239" s="35" t="s">
        <v>211</v>
      </c>
      <c r="R239" s="29">
        <v>180350000</v>
      </c>
      <c r="S239" s="26"/>
      <c r="T239" s="29">
        <v>180350000</v>
      </c>
      <c r="U239" s="36">
        <v>1</v>
      </c>
      <c r="X239" s="26" t="s">
        <v>1988</v>
      </c>
    </row>
    <row r="240" spans="1:24" x14ac:dyDescent="0.35">
      <c r="A240" s="26" t="s">
        <v>2063</v>
      </c>
      <c r="B240" s="32" t="s">
        <v>2064</v>
      </c>
      <c r="C240" s="26" t="s">
        <v>2065</v>
      </c>
      <c r="D240" s="26" t="s">
        <v>28</v>
      </c>
      <c r="E240" s="26" t="s">
        <v>162</v>
      </c>
      <c r="F240" s="26" t="s">
        <v>30</v>
      </c>
      <c r="G240" s="26" t="s">
        <v>30</v>
      </c>
      <c r="J240" s="26" t="s">
        <v>146</v>
      </c>
      <c r="L240" s="26" t="s">
        <v>164</v>
      </c>
      <c r="N240" s="28">
        <v>45658</v>
      </c>
      <c r="O240" s="28" t="s">
        <v>2066</v>
      </c>
      <c r="P240" s="26">
        <v>24</v>
      </c>
      <c r="Q240" s="35" t="s">
        <v>34</v>
      </c>
      <c r="R240" s="29">
        <v>228685600</v>
      </c>
      <c r="S240" s="33"/>
      <c r="T240" s="29">
        <v>219197785</v>
      </c>
      <c r="U240" s="36">
        <v>0.95850000000000002</v>
      </c>
      <c r="X240" s="26" t="s">
        <v>172</v>
      </c>
    </row>
    <row r="241" spans="1:24" x14ac:dyDescent="0.35">
      <c r="A241" s="26" t="s">
        <v>2067</v>
      </c>
      <c r="B241" s="32" t="s">
        <v>2068</v>
      </c>
      <c r="C241" s="26" t="s">
        <v>710</v>
      </c>
      <c r="D241" s="26" t="s">
        <v>117</v>
      </c>
      <c r="E241" s="26" t="s">
        <v>162</v>
      </c>
      <c r="F241" s="26" t="s">
        <v>30</v>
      </c>
      <c r="G241" s="26" t="s">
        <v>30</v>
      </c>
      <c r="J241" s="26" t="s">
        <v>146</v>
      </c>
      <c r="L241" s="26" t="s">
        <v>164</v>
      </c>
      <c r="N241" s="28">
        <v>45658</v>
      </c>
      <c r="O241" s="28" t="s">
        <v>2066</v>
      </c>
      <c r="P241" s="26">
        <v>24</v>
      </c>
      <c r="Q241" s="35" t="s">
        <v>211</v>
      </c>
      <c r="R241" s="29">
        <v>1631230000</v>
      </c>
      <c r="S241" s="33"/>
      <c r="T241" s="29">
        <v>1153343040</v>
      </c>
      <c r="U241" s="36">
        <v>1</v>
      </c>
      <c r="X241" s="26" t="s">
        <v>212</v>
      </c>
    </row>
    <row r="242" spans="1:24" x14ac:dyDescent="0.35">
      <c r="A242" s="26" t="s">
        <v>2069</v>
      </c>
      <c r="B242" s="32" t="s">
        <v>2070</v>
      </c>
      <c r="C242" s="26" t="s">
        <v>209</v>
      </c>
      <c r="D242" s="26" t="s">
        <v>117</v>
      </c>
      <c r="E242" s="26" t="s">
        <v>162</v>
      </c>
      <c r="F242" s="26" t="s">
        <v>30</v>
      </c>
      <c r="G242" s="26" t="s">
        <v>30</v>
      </c>
      <c r="J242" s="26" t="s">
        <v>146</v>
      </c>
      <c r="L242" s="26" t="s">
        <v>164</v>
      </c>
      <c r="N242" s="28">
        <v>45658</v>
      </c>
      <c r="O242" s="28" t="s">
        <v>2066</v>
      </c>
      <c r="P242" s="26">
        <v>24</v>
      </c>
      <c r="Q242" s="35" t="s">
        <v>34</v>
      </c>
      <c r="R242" s="29">
        <v>200569655</v>
      </c>
      <c r="S242" s="33"/>
      <c r="T242" s="29">
        <v>125800353.34999999</v>
      </c>
      <c r="U242" s="36">
        <v>0.72719999999999996</v>
      </c>
      <c r="X242" s="26" t="s">
        <v>212</v>
      </c>
    </row>
    <row r="243" spans="1:24" x14ac:dyDescent="0.35">
      <c r="A243" s="26" t="s">
        <v>2071</v>
      </c>
      <c r="B243" s="32" t="s">
        <v>1933</v>
      </c>
      <c r="C243" s="26" t="s">
        <v>2072</v>
      </c>
      <c r="D243" s="26" t="s">
        <v>117</v>
      </c>
      <c r="E243" s="26" t="s">
        <v>162</v>
      </c>
      <c r="F243" s="26" t="s">
        <v>30</v>
      </c>
      <c r="G243" s="26" t="s">
        <v>30</v>
      </c>
      <c r="J243" s="26" t="s">
        <v>146</v>
      </c>
      <c r="L243" s="26" t="s">
        <v>164</v>
      </c>
      <c r="N243" s="28">
        <v>45658</v>
      </c>
      <c r="O243" s="28" t="s">
        <v>2066</v>
      </c>
      <c r="P243" s="26">
        <v>24</v>
      </c>
      <c r="Q243" s="35" t="s">
        <v>34</v>
      </c>
      <c r="R243" s="29">
        <v>2450000000</v>
      </c>
      <c r="S243" s="33"/>
      <c r="T243" s="29">
        <v>1200000000</v>
      </c>
      <c r="U243" s="36">
        <v>0.48980000000000001</v>
      </c>
      <c r="X243" s="26" t="s">
        <v>168</v>
      </c>
    </row>
    <row r="244" spans="1:24" x14ac:dyDescent="0.35">
      <c r="A244" s="26" t="s">
        <v>2073</v>
      </c>
      <c r="B244" s="32" t="s">
        <v>2074</v>
      </c>
      <c r="C244" s="26" t="s">
        <v>2075</v>
      </c>
      <c r="D244" s="26" t="s">
        <v>117</v>
      </c>
      <c r="E244" s="26" t="s">
        <v>162</v>
      </c>
      <c r="F244" s="26" t="s">
        <v>30</v>
      </c>
      <c r="G244" s="26" t="s">
        <v>30</v>
      </c>
      <c r="J244" s="26" t="s">
        <v>146</v>
      </c>
      <c r="L244" s="26" t="s">
        <v>164</v>
      </c>
      <c r="N244" s="28">
        <v>45658</v>
      </c>
      <c r="O244" s="28" t="s">
        <v>2066</v>
      </c>
      <c r="P244" s="26">
        <v>24</v>
      </c>
      <c r="Q244" s="35" t="s">
        <v>34</v>
      </c>
      <c r="R244" s="29">
        <v>34427369599.57</v>
      </c>
      <c r="S244" s="33"/>
      <c r="T244" s="29">
        <v>8100000000</v>
      </c>
      <c r="U244" s="36">
        <v>0.23530000000000001</v>
      </c>
      <c r="X244" s="26" t="s">
        <v>165</v>
      </c>
    </row>
    <row r="245" spans="1:24" x14ac:dyDescent="0.35">
      <c r="A245" s="26" t="s">
        <v>2076</v>
      </c>
      <c r="B245" s="32" t="s">
        <v>2077</v>
      </c>
      <c r="C245" s="26" t="s">
        <v>1949</v>
      </c>
      <c r="D245" s="26" t="s">
        <v>117</v>
      </c>
      <c r="E245" s="26" t="s">
        <v>162</v>
      </c>
      <c r="F245" s="26" t="s">
        <v>30</v>
      </c>
      <c r="G245" s="26" t="s">
        <v>30</v>
      </c>
      <c r="J245" s="26" t="s">
        <v>146</v>
      </c>
      <c r="L245" s="26" t="s">
        <v>164</v>
      </c>
      <c r="N245" s="28">
        <v>45658</v>
      </c>
      <c r="O245" s="28" t="s">
        <v>2066</v>
      </c>
      <c r="P245" s="26">
        <v>24</v>
      </c>
      <c r="Q245" s="35" t="s">
        <v>211</v>
      </c>
      <c r="R245" s="29">
        <v>50000000</v>
      </c>
      <c r="S245" s="33"/>
      <c r="T245" s="29">
        <v>50000000</v>
      </c>
      <c r="U245" s="36">
        <v>1</v>
      </c>
      <c r="X245" s="26" t="s">
        <v>67</v>
      </c>
    </row>
    <row r="246" spans="1:24" x14ac:dyDescent="0.35">
      <c r="A246" s="26" t="s">
        <v>2106</v>
      </c>
      <c r="B246" s="32" t="s">
        <v>2107</v>
      </c>
      <c r="C246" s="26" t="s">
        <v>710</v>
      </c>
      <c r="D246" s="26" t="s">
        <v>117</v>
      </c>
      <c r="E246" s="26" t="s">
        <v>162</v>
      </c>
      <c r="F246" s="26" t="s">
        <v>30</v>
      </c>
      <c r="G246" s="26" t="s">
        <v>30</v>
      </c>
      <c r="J246" s="26" t="s">
        <v>146</v>
      </c>
      <c r="L246" s="26" t="s">
        <v>164</v>
      </c>
      <c r="N246" s="28">
        <v>45658</v>
      </c>
      <c r="O246" s="28" t="s">
        <v>219</v>
      </c>
      <c r="P246" s="26">
        <v>24</v>
      </c>
      <c r="Q246" s="35" t="s">
        <v>211</v>
      </c>
      <c r="R246" s="29">
        <v>39011000</v>
      </c>
      <c r="S246" s="33"/>
      <c r="T246" s="29">
        <v>39011000</v>
      </c>
      <c r="U246" s="36">
        <v>1</v>
      </c>
      <c r="X246" s="26" t="s">
        <v>212</v>
      </c>
    </row>
    <row r="247" spans="1:24" x14ac:dyDescent="0.35">
      <c r="A247" s="26" t="s">
        <v>2615</v>
      </c>
      <c r="B247" s="32" t="s">
        <v>2109</v>
      </c>
      <c r="C247" s="26" t="s">
        <v>209</v>
      </c>
      <c r="D247" s="26" t="s">
        <v>117</v>
      </c>
      <c r="E247" s="26" t="s">
        <v>162</v>
      </c>
      <c r="F247" s="26" t="s">
        <v>30</v>
      </c>
      <c r="G247" s="26" t="s">
        <v>30</v>
      </c>
      <c r="J247" s="26" t="s">
        <v>163</v>
      </c>
      <c r="L247" s="26" t="s">
        <v>164</v>
      </c>
      <c r="N247" s="28">
        <v>45669</v>
      </c>
      <c r="O247" s="28" t="s">
        <v>2053</v>
      </c>
      <c r="P247" s="26">
        <v>32</v>
      </c>
      <c r="Q247" s="35" t="s">
        <v>211</v>
      </c>
      <c r="R247" s="29">
        <v>200569655</v>
      </c>
      <c r="S247" s="26"/>
      <c r="T247" s="29">
        <v>170163353.34999999</v>
      </c>
      <c r="U247" s="36">
        <v>1</v>
      </c>
      <c r="X247" s="26" t="s">
        <v>212</v>
      </c>
    </row>
    <row r="248" spans="1:24" x14ac:dyDescent="0.35">
      <c r="A248" s="26" t="s">
        <v>2108</v>
      </c>
      <c r="B248" s="32" t="s">
        <v>2110</v>
      </c>
      <c r="C248" s="26" t="s">
        <v>209</v>
      </c>
      <c r="D248" s="26" t="s">
        <v>117</v>
      </c>
      <c r="E248" s="26" t="s">
        <v>162</v>
      </c>
      <c r="F248" s="26" t="s">
        <v>30</v>
      </c>
      <c r="G248" s="26" t="s">
        <v>30</v>
      </c>
      <c r="J248" s="26" t="s">
        <v>163</v>
      </c>
      <c r="L248" s="26" t="s">
        <v>164</v>
      </c>
      <c r="N248" s="28">
        <v>45669</v>
      </c>
      <c r="O248" s="28" t="s">
        <v>2053</v>
      </c>
      <c r="P248" s="26">
        <v>32</v>
      </c>
      <c r="Q248" s="35" t="s">
        <v>34</v>
      </c>
      <c r="R248" s="29">
        <v>200569655</v>
      </c>
      <c r="S248" s="26"/>
      <c r="T248" s="29">
        <v>114385250</v>
      </c>
      <c r="U248" s="36">
        <v>0.57030000000000003</v>
      </c>
      <c r="X248" s="26" t="s">
        <v>212</v>
      </c>
    </row>
    <row r="249" spans="1:24" x14ac:dyDescent="0.35">
      <c r="A249" s="26" t="s">
        <v>2111</v>
      </c>
      <c r="B249" s="32" t="s">
        <v>1927</v>
      </c>
      <c r="C249" s="26" t="s">
        <v>1928</v>
      </c>
      <c r="D249" s="26" t="s">
        <v>117</v>
      </c>
      <c r="E249" s="26" t="s">
        <v>162</v>
      </c>
      <c r="F249" s="26" t="s">
        <v>30</v>
      </c>
      <c r="G249" s="26" t="s">
        <v>30</v>
      </c>
      <c r="J249" s="26" t="s">
        <v>146</v>
      </c>
      <c r="L249" s="26" t="s">
        <v>164</v>
      </c>
      <c r="N249" s="28">
        <v>45658</v>
      </c>
      <c r="O249" s="28" t="s">
        <v>219</v>
      </c>
      <c r="P249" s="26">
        <v>16</v>
      </c>
      <c r="Q249" s="35" t="s">
        <v>34</v>
      </c>
      <c r="R249" s="29">
        <v>235000000</v>
      </c>
      <c r="S249" s="26"/>
      <c r="T249" s="29">
        <v>46000000</v>
      </c>
      <c r="U249" s="36">
        <v>0.19570000000000001</v>
      </c>
      <c r="X249" s="26" t="s">
        <v>186</v>
      </c>
    </row>
    <row r="250" spans="1:24" x14ac:dyDescent="0.35">
      <c r="A250" s="26" t="s">
        <v>2112</v>
      </c>
      <c r="B250" s="32" t="s">
        <v>2113</v>
      </c>
      <c r="C250" s="26" t="s">
        <v>2114</v>
      </c>
      <c r="D250" s="26" t="s">
        <v>117</v>
      </c>
      <c r="E250" s="26" t="s">
        <v>162</v>
      </c>
      <c r="F250" s="26" t="s">
        <v>30</v>
      </c>
      <c r="G250" s="26" t="s">
        <v>30</v>
      </c>
      <c r="J250" s="26" t="s">
        <v>146</v>
      </c>
      <c r="L250" s="26" t="s">
        <v>164</v>
      </c>
      <c r="N250" s="28">
        <v>45658</v>
      </c>
      <c r="O250" s="28" t="s">
        <v>219</v>
      </c>
      <c r="P250" s="26">
        <v>16</v>
      </c>
      <c r="Q250" s="35" t="s">
        <v>34</v>
      </c>
      <c r="R250" s="29">
        <v>2450000000</v>
      </c>
      <c r="S250" s="26"/>
      <c r="T250" s="29">
        <v>700000000</v>
      </c>
      <c r="U250" s="36">
        <v>0.28570000000000001</v>
      </c>
      <c r="X250" s="26" t="s">
        <v>186</v>
      </c>
    </row>
    <row r="251" spans="1:24" ht="29" x14ac:dyDescent="0.35">
      <c r="A251" s="26" t="s">
        <v>2115</v>
      </c>
      <c r="B251" s="32" t="s">
        <v>2116</v>
      </c>
      <c r="C251" s="26" t="s">
        <v>2117</v>
      </c>
      <c r="D251" s="26" t="s">
        <v>117</v>
      </c>
      <c r="E251" s="26" t="s">
        <v>162</v>
      </c>
      <c r="F251" s="26" t="s">
        <v>30</v>
      </c>
      <c r="G251" s="26" t="s">
        <v>30</v>
      </c>
      <c r="J251" s="26" t="s">
        <v>146</v>
      </c>
      <c r="L251" s="26" t="s">
        <v>164</v>
      </c>
      <c r="N251" s="28">
        <v>45658</v>
      </c>
      <c r="O251" s="28" t="s">
        <v>219</v>
      </c>
      <c r="P251" s="26">
        <v>16</v>
      </c>
      <c r="Q251" s="35" t="s">
        <v>211</v>
      </c>
      <c r="R251" s="29">
        <v>1904040000</v>
      </c>
      <c r="S251" s="26"/>
      <c r="T251" s="29">
        <v>1904040000</v>
      </c>
      <c r="U251" s="36">
        <v>1</v>
      </c>
      <c r="X251" s="26" t="s">
        <v>186</v>
      </c>
    </row>
    <row r="252" spans="1:24" x14ac:dyDescent="0.35">
      <c r="A252" s="26" t="s">
        <v>2324</v>
      </c>
      <c r="B252" s="32" t="s">
        <v>2325</v>
      </c>
      <c r="C252" s="26" t="s">
        <v>2326</v>
      </c>
      <c r="D252" s="26" t="s">
        <v>117</v>
      </c>
      <c r="E252" s="26" t="s">
        <v>162</v>
      </c>
      <c r="F252" s="26" t="s">
        <v>30</v>
      </c>
      <c r="G252" s="26" t="s">
        <v>30</v>
      </c>
      <c r="J252" s="26" t="s">
        <v>146</v>
      </c>
      <c r="L252" s="26" t="s">
        <v>164</v>
      </c>
      <c r="N252" s="28">
        <v>45669</v>
      </c>
      <c r="O252" s="28">
        <v>46056</v>
      </c>
      <c r="P252" s="26">
        <v>12</v>
      </c>
      <c r="Q252" s="35" t="s">
        <v>34</v>
      </c>
      <c r="R252" s="29">
        <v>300000000</v>
      </c>
      <c r="S252" s="33"/>
      <c r="T252" s="29">
        <v>52750490</v>
      </c>
      <c r="U252" s="36">
        <f>T252/R252</f>
        <v>0.17583496666666668</v>
      </c>
      <c r="X252" s="26" t="s">
        <v>186</v>
      </c>
    </row>
    <row r="253" spans="1:24" x14ac:dyDescent="0.35">
      <c r="A253" s="26" t="s">
        <v>2329</v>
      </c>
      <c r="B253" s="32" t="s">
        <v>2327</v>
      </c>
      <c r="C253" s="26" t="s">
        <v>2328</v>
      </c>
      <c r="D253" s="26" t="s">
        <v>117</v>
      </c>
      <c r="E253" s="26" t="s">
        <v>162</v>
      </c>
      <c r="F253" s="26" t="s">
        <v>30</v>
      </c>
      <c r="G253" s="26" t="s">
        <v>30</v>
      </c>
      <c r="J253" s="26" t="s">
        <v>146</v>
      </c>
      <c r="L253" s="26" t="s">
        <v>164</v>
      </c>
      <c r="N253" s="28">
        <v>45669</v>
      </c>
      <c r="O253" s="28">
        <v>46056</v>
      </c>
      <c r="P253" s="26">
        <v>12</v>
      </c>
      <c r="Q253" s="35" t="s">
        <v>34</v>
      </c>
      <c r="R253" s="29">
        <v>300000000</v>
      </c>
      <c r="S253" s="26"/>
      <c r="T253" s="29">
        <v>148565040</v>
      </c>
      <c r="U253" s="36">
        <v>0.49</v>
      </c>
      <c r="X253" s="26" t="s">
        <v>186</v>
      </c>
    </row>
    <row r="254" spans="1:24" x14ac:dyDescent="0.35">
      <c r="A254" s="26" t="s">
        <v>2331</v>
      </c>
      <c r="B254" s="32" t="s">
        <v>2330</v>
      </c>
      <c r="C254" s="26" t="s">
        <v>2332</v>
      </c>
      <c r="D254" s="26" t="s">
        <v>117</v>
      </c>
      <c r="E254" s="26" t="s">
        <v>162</v>
      </c>
      <c r="F254" s="26" t="s">
        <v>30</v>
      </c>
      <c r="G254" s="26" t="s">
        <v>30</v>
      </c>
      <c r="J254" s="26" t="s">
        <v>146</v>
      </c>
      <c r="L254" s="26" t="s">
        <v>164</v>
      </c>
      <c r="N254" s="28">
        <v>45669</v>
      </c>
      <c r="O254" s="28">
        <v>46056</v>
      </c>
      <c r="P254" s="26">
        <v>12</v>
      </c>
      <c r="Q254" s="35" t="s">
        <v>34</v>
      </c>
      <c r="R254" s="31">
        <v>4340000000</v>
      </c>
      <c r="S254" s="26"/>
      <c r="T254" s="29">
        <v>10000000</v>
      </c>
      <c r="U254" s="36">
        <v>2E-3</v>
      </c>
      <c r="X254" s="26" t="s">
        <v>186</v>
      </c>
    </row>
    <row r="255" spans="1:24" x14ac:dyDescent="0.35">
      <c r="A255" s="26" t="s">
        <v>2335</v>
      </c>
      <c r="B255" s="32" t="s">
        <v>2333</v>
      </c>
      <c r="C255" s="26" t="s">
        <v>2334</v>
      </c>
      <c r="D255" s="26" t="s">
        <v>117</v>
      </c>
      <c r="E255" s="26" t="s">
        <v>162</v>
      </c>
      <c r="F255" s="26" t="s">
        <v>30</v>
      </c>
      <c r="G255" s="26" t="s">
        <v>30</v>
      </c>
      <c r="J255" s="26" t="s">
        <v>146</v>
      </c>
      <c r="L255" s="26" t="s">
        <v>164</v>
      </c>
      <c r="N255" s="28">
        <v>45669</v>
      </c>
      <c r="O255" s="28">
        <v>46056</v>
      </c>
      <c r="P255" s="26">
        <v>12</v>
      </c>
      <c r="Q255" s="35" t="s">
        <v>34</v>
      </c>
      <c r="R255" s="29">
        <v>250000000</v>
      </c>
      <c r="S255" s="33"/>
      <c r="T255" s="29">
        <v>45270105.200000003</v>
      </c>
      <c r="U255" s="36">
        <f>T255/R255</f>
        <v>0.1810804208</v>
      </c>
      <c r="X255" s="26" t="s">
        <v>186</v>
      </c>
    </row>
    <row r="256" spans="1:24" x14ac:dyDescent="0.35">
      <c r="A256" s="26" t="s">
        <v>2358</v>
      </c>
      <c r="B256" s="32" t="s">
        <v>170</v>
      </c>
      <c r="C256" s="26" t="s">
        <v>2326</v>
      </c>
      <c r="D256" s="26" t="s">
        <v>117</v>
      </c>
      <c r="E256" s="26" t="s">
        <v>162</v>
      </c>
      <c r="F256" s="26" t="s">
        <v>30</v>
      </c>
      <c r="G256" s="26" t="s">
        <v>30</v>
      </c>
      <c r="J256" s="26" t="s">
        <v>146</v>
      </c>
      <c r="L256" s="26" t="s">
        <v>164</v>
      </c>
      <c r="N256" s="28">
        <v>46195</v>
      </c>
      <c r="O256" s="28">
        <v>46225</v>
      </c>
      <c r="P256" s="26">
        <v>4</v>
      </c>
      <c r="Q256" s="35" t="s">
        <v>34</v>
      </c>
      <c r="R256" s="31">
        <v>300000000</v>
      </c>
      <c r="S256" s="26"/>
      <c r="T256" s="31">
        <v>286349700</v>
      </c>
      <c r="U256" s="36">
        <f>T256/R256</f>
        <v>0.95449899999999999</v>
      </c>
      <c r="X256" s="26" t="s">
        <v>186</v>
      </c>
    </row>
    <row r="257" spans="1:24" x14ac:dyDescent="0.35">
      <c r="A257" s="26" t="s">
        <v>2360</v>
      </c>
      <c r="B257" s="32" t="s">
        <v>2359</v>
      </c>
      <c r="C257" s="26" t="s">
        <v>2332</v>
      </c>
      <c r="D257" s="26" t="s">
        <v>117</v>
      </c>
      <c r="E257" s="26" t="s">
        <v>162</v>
      </c>
      <c r="F257" s="26" t="s">
        <v>30</v>
      </c>
      <c r="G257" s="26" t="s">
        <v>30</v>
      </c>
      <c r="J257" s="26" t="s">
        <v>146</v>
      </c>
      <c r="L257" s="26" t="s">
        <v>164</v>
      </c>
      <c r="N257" s="28">
        <v>46195</v>
      </c>
      <c r="O257" s="28">
        <v>46225</v>
      </c>
      <c r="P257" s="26">
        <v>4</v>
      </c>
      <c r="Q257" s="35" t="s">
        <v>211</v>
      </c>
      <c r="R257" s="31">
        <v>4340000000</v>
      </c>
      <c r="S257" s="26"/>
      <c r="T257" s="29">
        <v>3057720600</v>
      </c>
      <c r="U257" s="36">
        <v>1</v>
      </c>
      <c r="X257" s="26" t="s">
        <v>186</v>
      </c>
    </row>
    <row r="258" spans="1:24" x14ac:dyDescent="0.35">
      <c r="A258" s="26" t="s">
        <v>2361</v>
      </c>
      <c r="B258" s="32" t="s">
        <v>2362</v>
      </c>
      <c r="C258" s="26" t="s">
        <v>2334</v>
      </c>
      <c r="D258" s="26" t="s">
        <v>117</v>
      </c>
      <c r="E258" s="26" t="s">
        <v>162</v>
      </c>
      <c r="F258" s="26" t="s">
        <v>30</v>
      </c>
      <c r="G258" s="26" t="s">
        <v>30</v>
      </c>
      <c r="J258" s="26" t="s">
        <v>146</v>
      </c>
      <c r="L258" s="26" t="s">
        <v>164</v>
      </c>
      <c r="N258" s="28">
        <v>46195</v>
      </c>
      <c r="O258" s="28">
        <v>46225</v>
      </c>
      <c r="P258" s="26">
        <v>4</v>
      </c>
      <c r="Q258" s="35" t="s">
        <v>34</v>
      </c>
      <c r="R258" s="31">
        <v>500000000</v>
      </c>
      <c r="S258" s="26"/>
      <c r="T258" s="31">
        <v>356681159.60000002</v>
      </c>
      <c r="U258" s="36">
        <f>T258/R258</f>
        <v>0.71336231920000004</v>
      </c>
      <c r="X258" s="26" t="s">
        <v>186</v>
      </c>
    </row>
    <row r="259" spans="1:24" ht="29" x14ac:dyDescent="0.35">
      <c r="A259" s="26" t="s">
        <v>2363</v>
      </c>
      <c r="B259" s="32" t="s">
        <v>2364</v>
      </c>
      <c r="C259" s="26" t="s">
        <v>2334</v>
      </c>
      <c r="D259" s="26" t="s">
        <v>229</v>
      </c>
      <c r="E259" s="26" t="s">
        <v>162</v>
      </c>
      <c r="F259" s="26" t="s">
        <v>30</v>
      </c>
      <c r="G259" s="26" t="s">
        <v>30</v>
      </c>
      <c r="J259" s="26" t="s">
        <v>146</v>
      </c>
      <c r="L259" s="26" t="s">
        <v>164</v>
      </c>
      <c r="N259" s="28">
        <v>46195</v>
      </c>
      <c r="O259" s="28">
        <v>46225</v>
      </c>
      <c r="P259" s="26">
        <v>4</v>
      </c>
      <c r="Q259" s="35" t="s">
        <v>211</v>
      </c>
      <c r="R259" s="31">
        <v>50000000</v>
      </c>
      <c r="S259" s="26"/>
      <c r="T259" s="29">
        <v>500000000</v>
      </c>
      <c r="U259" s="36">
        <v>1</v>
      </c>
      <c r="X259" s="26" t="s">
        <v>186</v>
      </c>
    </row>
    <row r="260" spans="1:24" ht="29" x14ac:dyDescent="0.35">
      <c r="A260" s="26" t="s">
        <v>2365</v>
      </c>
      <c r="B260" s="32" t="s">
        <v>2366</v>
      </c>
      <c r="C260" s="26" t="s">
        <v>2367</v>
      </c>
      <c r="D260" s="26" t="s">
        <v>117</v>
      </c>
      <c r="E260" s="26" t="s">
        <v>162</v>
      </c>
      <c r="F260" s="26" t="s">
        <v>30</v>
      </c>
      <c r="G260" s="26" t="s">
        <v>30</v>
      </c>
      <c r="J260" s="26" t="s">
        <v>146</v>
      </c>
      <c r="L260" s="26" t="s">
        <v>164</v>
      </c>
      <c r="N260" s="28">
        <v>46195</v>
      </c>
      <c r="O260" s="28">
        <v>46225</v>
      </c>
      <c r="P260" s="26">
        <v>4</v>
      </c>
      <c r="Q260" s="35" t="s">
        <v>34</v>
      </c>
      <c r="R260" s="31">
        <v>35000000000</v>
      </c>
      <c r="S260" s="26"/>
      <c r="T260" s="31">
        <v>10095960000</v>
      </c>
      <c r="U260" s="36">
        <f>T260/R260</f>
        <v>0.28845599999999999</v>
      </c>
      <c r="X260" s="26" t="s">
        <v>186</v>
      </c>
    </row>
    <row r="261" spans="1:24" ht="18.5" customHeight="1" x14ac:dyDescent="0.35">
      <c r="A261" s="26" t="s">
        <v>2368</v>
      </c>
      <c r="B261" s="32" t="s">
        <v>2369</v>
      </c>
      <c r="C261" s="26" t="s">
        <v>2370</v>
      </c>
      <c r="D261" s="26" t="s">
        <v>117</v>
      </c>
      <c r="E261" s="26" t="s">
        <v>162</v>
      </c>
      <c r="F261" s="26" t="s">
        <v>30</v>
      </c>
      <c r="G261" s="26" t="s">
        <v>30</v>
      </c>
      <c r="J261" s="26" t="s">
        <v>146</v>
      </c>
      <c r="L261" s="26" t="s">
        <v>164</v>
      </c>
      <c r="N261" s="28">
        <v>46195</v>
      </c>
      <c r="O261" s="28">
        <v>46225</v>
      </c>
      <c r="P261" s="26">
        <v>4</v>
      </c>
      <c r="Q261" s="35" t="s">
        <v>211</v>
      </c>
      <c r="R261" s="31">
        <v>120000000</v>
      </c>
      <c r="S261" s="26"/>
      <c r="T261" s="29">
        <v>113688750</v>
      </c>
      <c r="U261" s="36">
        <v>1</v>
      </c>
      <c r="X261" s="26" t="s">
        <v>186</v>
      </c>
    </row>
    <row r="262" spans="1:24" x14ac:dyDescent="0.35">
      <c r="A262" s="26" t="s">
        <v>2376</v>
      </c>
      <c r="B262" s="32" t="s">
        <v>218</v>
      </c>
      <c r="C262" s="26" t="s">
        <v>2371</v>
      </c>
      <c r="D262" s="26" t="s">
        <v>117</v>
      </c>
      <c r="E262" s="26" t="s">
        <v>162</v>
      </c>
      <c r="F262" s="26" t="s">
        <v>30</v>
      </c>
      <c r="G262" s="26" t="s">
        <v>30</v>
      </c>
      <c r="J262" s="26" t="s">
        <v>146</v>
      </c>
      <c r="L262" s="26" t="s">
        <v>164</v>
      </c>
      <c r="N262" s="28">
        <v>46195</v>
      </c>
      <c r="O262" s="28">
        <v>46225</v>
      </c>
      <c r="P262" s="26">
        <v>4</v>
      </c>
      <c r="Q262" s="35" t="s">
        <v>34</v>
      </c>
      <c r="R262" s="31">
        <v>3915580800</v>
      </c>
      <c r="S262" s="26"/>
      <c r="T262" s="31">
        <v>3500000000</v>
      </c>
      <c r="U262" s="36">
        <f>T262/R262</f>
        <v>0.89386483864667021</v>
      </c>
      <c r="X262" s="26" t="s">
        <v>186</v>
      </c>
    </row>
    <row r="263" spans="1:24" x14ac:dyDescent="0.35">
      <c r="A263" s="26" t="s">
        <v>2377</v>
      </c>
      <c r="B263" s="32" t="s">
        <v>2372</v>
      </c>
      <c r="C263" s="26" t="s">
        <v>2373</v>
      </c>
      <c r="D263" s="26" t="s">
        <v>117</v>
      </c>
      <c r="E263" s="26" t="s">
        <v>162</v>
      </c>
      <c r="F263" s="26" t="s">
        <v>30</v>
      </c>
      <c r="G263" s="26" t="s">
        <v>30</v>
      </c>
      <c r="J263" s="26" t="s">
        <v>146</v>
      </c>
      <c r="L263" s="26" t="s">
        <v>164</v>
      </c>
      <c r="N263" s="28">
        <v>46195</v>
      </c>
      <c r="O263" s="28">
        <v>46225</v>
      </c>
      <c r="P263" s="26">
        <v>4</v>
      </c>
      <c r="Q263" s="35" t="s">
        <v>34</v>
      </c>
      <c r="R263" s="31">
        <v>692277368.01999998</v>
      </c>
      <c r="S263" s="26"/>
      <c r="T263" s="31">
        <v>692277368.01999998</v>
      </c>
      <c r="U263" s="36">
        <v>1</v>
      </c>
      <c r="X263" s="26" t="s">
        <v>186</v>
      </c>
    </row>
    <row r="264" spans="1:24" x14ac:dyDescent="0.35">
      <c r="A264" s="26" t="s">
        <v>2378</v>
      </c>
      <c r="B264" s="32" t="s">
        <v>2374</v>
      </c>
      <c r="C264" s="26" t="s">
        <v>2375</v>
      </c>
      <c r="D264" s="26" t="s">
        <v>117</v>
      </c>
      <c r="E264" s="26" t="s">
        <v>162</v>
      </c>
      <c r="F264" s="26" t="s">
        <v>30</v>
      </c>
      <c r="G264" s="26" t="s">
        <v>30</v>
      </c>
      <c r="J264" s="26" t="s">
        <v>146</v>
      </c>
      <c r="L264" s="26" t="s">
        <v>164</v>
      </c>
      <c r="N264" s="28">
        <v>46023</v>
      </c>
      <c r="O264" s="28">
        <v>46203</v>
      </c>
      <c r="P264" s="26">
        <v>24</v>
      </c>
      <c r="Q264" s="35" t="s">
        <v>211</v>
      </c>
      <c r="R264" s="31">
        <v>250000000</v>
      </c>
      <c r="S264" s="26"/>
      <c r="T264" s="29">
        <v>160234497.19</v>
      </c>
      <c r="U264" s="36">
        <v>1</v>
      </c>
      <c r="X264" s="26" t="s">
        <v>186</v>
      </c>
    </row>
    <row r="265" spans="1:24" x14ac:dyDescent="0.35">
      <c r="A265" s="26" t="s">
        <v>2532</v>
      </c>
      <c r="B265" s="32" t="s">
        <v>2530</v>
      </c>
      <c r="C265" s="26" t="s">
        <v>2531</v>
      </c>
      <c r="D265" s="26" t="s">
        <v>117</v>
      </c>
      <c r="E265" s="26" t="s">
        <v>162</v>
      </c>
      <c r="F265" s="26" t="s">
        <v>30</v>
      </c>
      <c r="G265" s="26" t="s">
        <v>30</v>
      </c>
      <c r="J265" s="26" t="s">
        <v>146</v>
      </c>
      <c r="L265" s="26" t="s">
        <v>164</v>
      </c>
      <c r="N265" s="28">
        <v>46023</v>
      </c>
      <c r="O265" s="28">
        <v>46203</v>
      </c>
      <c r="P265" s="26">
        <v>24</v>
      </c>
      <c r="Q265" s="35" t="s">
        <v>211</v>
      </c>
      <c r="R265" s="29">
        <v>96600000</v>
      </c>
      <c r="S265" s="33"/>
      <c r="T265" s="29">
        <v>96600000</v>
      </c>
      <c r="U265" s="36">
        <v>1</v>
      </c>
      <c r="X265" s="26" t="s">
        <v>186</v>
      </c>
    </row>
    <row r="266" spans="1:24" x14ac:dyDescent="0.35">
      <c r="A266" s="26" t="s">
        <v>220</v>
      </c>
      <c r="B266" s="32" t="s">
        <v>221</v>
      </c>
      <c r="C266" s="26" t="s">
        <v>221</v>
      </c>
      <c r="D266" s="26" t="s">
        <v>109</v>
      </c>
      <c r="E266" s="26" t="s">
        <v>222</v>
      </c>
      <c r="F266" s="26" t="s">
        <v>30</v>
      </c>
      <c r="G266" s="26" t="s">
        <v>30</v>
      </c>
      <c r="J266" s="26" t="s">
        <v>31</v>
      </c>
      <c r="L266" s="26" t="s">
        <v>223</v>
      </c>
      <c r="N266" s="28">
        <v>45313</v>
      </c>
      <c r="O266" s="28">
        <v>45678</v>
      </c>
      <c r="P266" s="26">
        <v>52</v>
      </c>
      <c r="Q266" s="35" t="s">
        <v>49</v>
      </c>
      <c r="R266" s="29">
        <v>1300000000</v>
      </c>
      <c r="S266" s="26"/>
      <c r="T266" s="29">
        <v>0</v>
      </c>
      <c r="U266" s="36">
        <v>0</v>
      </c>
      <c r="X266" s="26" t="s">
        <v>224</v>
      </c>
    </row>
    <row r="267" spans="1:24" x14ac:dyDescent="0.35">
      <c r="A267" s="26" t="s">
        <v>225</v>
      </c>
      <c r="B267" s="32" t="s">
        <v>226</v>
      </c>
      <c r="C267" s="26" t="s">
        <v>226</v>
      </c>
      <c r="D267" s="26" t="s">
        <v>117</v>
      </c>
      <c r="E267" s="26" t="s">
        <v>222</v>
      </c>
      <c r="F267" s="26" t="s">
        <v>30</v>
      </c>
      <c r="G267" s="26" t="s">
        <v>30</v>
      </c>
      <c r="J267" s="26" t="s">
        <v>31</v>
      </c>
      <c r="L267" s="26" t="s">
        <v>32</v>
      </c>
      <c r="N267" s="28">
        <v>45315</v>
      </c>
      <c r="O267" s="28">
        <v>45680</v>
      </c>
      <c r="P267" s="26">
        <v>52</v>
      </c>
      <c r="Q267" s="35" t="s">
        <v>49</v>
      </c>
      <c r="R267" s="29">
        <v>1000000000</v>
      </c>
      <c r="S267" s="26"/>
      <c r="T267" s="29">
        <v>0</v>
      </c>
      <c r="U267" s="36">
        <v>0</v>
      </c>
      <c r="X267" s="26" t="s">
        <v>224</v>
      </c>
    </row>
    <row r="268" spans="1:24" x14ac:dyDescent="0.35">
      <c r="A268" s="26" t="s">
        <v>227</v>
      </c>
      <c r="B268" s="32" t="s">
        <v>228</v>
      </c>
      <c r="C268" s="26" t="s">
        <v>228</v>
      </c>
      <c r="D268" s="26" t="s">
        <v>229</v>
      </c>
      <c r="E268" s="26" t="s">
        <v>222</v>
      </c>
      <c r="F268" s="26" t="s">
        <v>30</v>
      </c>
      <c r="G268" s="26" t="s">
        <v>30</v>
      </c>
      <c r="J268" s="26" t="s">
        <v>31</v>
      </c>
      <c r="L268" s="26" t="s">
        <v>32</v>
      </c>
      <c r="N268" s="28">
        <v>45317</v>
      </c>
      <c r="O268" s="28">
        <v>45682</v>
      </c>
      <c r="P268" s="26">
        <v>52</v>
      </c>
      <c r="Q268" s="35" t="s">
        <v>34</v>
      </c>
      <c r="R268" s="29">
        <v>250000000</v>
      </c>
      <c r="S268" s="26"/>
      <c r="T268" s="29">
        <v>1250000000</v>
      </c>
      <c r="U268" s="36">
        <f>T268/R268</f>
        <v>5</v>
      </c>
      <c r="X268" s="26" t="s">
        <v>224</v>
      </c>
    </row>
    <row r="269" spans="1:24" x14ac:dyDescent="0.35">
      <c r="A269" s="26" t="s">
        <v>230</v>
      </c>
      <c r="B269" s="32" t="s">
        <v>231</v>
      </c>
      <c r="C269" s="26" t="s">
        <v>231</v>
      </c>
      <c r="D269" s="26" t="s">
        <v>117</v>
      </c>
      <c r="E269" s="26" t="s">
        <v>222</v>
      </c>
      <c r="F269" s="26" t="s">
        <v>30</v>
      </c>
      <c r="G269" s="26" t="s">
        <v>30</v>
      </c>
      <c r="J269" s="26" t="s">
        <v>31</v>
      </c>
      <c r="L269" s="26" t="s">
        <v>32</v>
      </c>
      <c r="N269" s="28">
        <v>45318</v>
      </c>
      <c r="O269" s="28">
        <v>45683</v>
      </c>
      <c r="P269" s="26">
        <v>52</v>
      </c>
      <c r="Q269" s="35" t="s">
        <v>49</v>
      </c>
      <c r="R269" s="29">
        <v>550000000</v>
      </c>
      <c r="S269" s="26"/>
      <c r="T269" s="29">
        <v>0</v>
      </c>
      <c r="U269" s="36">
        <v>0</v>
      </c>
      <c r="X269" s="26" t="s">
        <v>224</v>
      </c>
    </row>
    <row r="270" spans="1:24" x14ac:dyDescent="0.35">
      <c r="A270" s="26" t="s">
        <v>232</v>
      </c>
      <c r="B270" s="32" t="s">
        <v>233</v>
      </c>
      <c r="C270" s="26" t="s">
        <v>233</v>
      </c>
      <c r="D270" s="26" t="s">
        <v>234</v>
      </c>
      <c r="E270" s="26" t="s">
        <v>222</v>
      </c>
      <c r="F270" s="26" t="s">
        <v>30</v>
      </c>
      <c r="G270" s="26" t="s">
        <v>30</v>
      </c>
      <c r="J270" s="26" t="s">
        <v>31</v>
      </c>
      <c r="L270" s="26" t="s">
        <v>32</v>
      </c>
      <c r="N270" s="28">
        <v>45319</v>
      </c>
      <c r="O270" s="28">
        <v>45684</v>
      </c>
      <c r="P270" s="26">
        <v>52</v>
      </c>
      <c r="Q270" s="35" t="s">
        <v>49</v>
      </c>
      <c r="R270" s="29">
        <v>80000000</v>
      </c>
      <c r="S270" s="26"/>
      <c r="T270" s="29">
        <v>0</v>
      </c>
      <c r="U270" s="36">
        <v>0</v>
      </c>
      <c r="X270" s="26" t="s">
        <v>224</v>
      </c>
    </row>
    <row r="271" spans="1:24" x14ac:dyDescent="0.35">
      <c r="A271" s="26" t="s">
        <v>235</v>
      </c>
      <c r="B271" s="32" t="s">
        <v>236</v>
      </c>
      <c r="C271" s="26" t="s">
        <v>236</v>
      </c>
      <c r="D271" s="26" t="s">
        <v>28</v>
      </c>
      <c r="E271" s="26" t="s">
        <v>222</v>
      </c>
      <c r="F271" s="26" t="s">
        <v>30</v>
      </c>
      <c r="G271" s="26" t="s">
        <v>30</v>
      </c>
      <c r="J271" s="26" t="s">
        <v>31</v>
      </c>
      <c r="L271" s="26" t="s">
        <v>223</v>
      </c>
      <c r="N271" s="28">
        <v>45320</v>
      </c>
      <c r="O271" s="28">
        <v>45685</v>
      </c>
      <c r="P271" s="26">
        <v>52</v>
      </c>
      <c r="Q271" s="35" t="s">
        <v>49</v>
      </c>
      <c r="R271" s="29">
        <v>50000000</v>
      </c>
      <c r="S271" s="26"/>
      <c r="T271" s="29">
        <v>0</v>
      </c>
      <c r="U271" s="36">
        <v>0</v>
      </c>
      <c r="X271" s="26" t="s">
        <v>224</v>
      </c>
    </row>
    <row r="272" spans="1:24" x14ac:dyDescent="0.35">
      <c r="A272" s="26" t="s">
        <v>237</v>
      </c>
      <c r="B272" s="32" t="s">
        <v>238</v>
      </c>
      <c r="C272" s="26" t="s">
        <v>238</v>
      </c>
      <c r="D272" s="26" t="s">
        <v>77</v>
      </c>
      <c r="E272" s="26" t="s">
        <v>222</v>
      </c>
      <c r="F272" s="26" t="s">
        <v>30</v>
      </c>
      <c r="G272" s="26" t="s">
        <v>30</v>
      </c>
      <c r="J272" s="26" t="s">
        <v>31</v>
      </c>
      <c r="L272" s="26" t="s">
        <v>223</v>
      </c>
      <c r="N272" s="28">
        <v>45321</v>
      </c>
      <c r="O272" s="28">
        <v>45686</v>
      </c>
      <c r="P272" s="26">
        <v>52</v>
      </c>
      <c r="Q272" s="35" t="s">
        <v>49</v>
      </c>
      <c r="R272" s="29">
        <v>250000000</v>
      </c>
      <c r="S272" s="26"/>
      <c r="T272" s="29">
        <v>0</v>
      </c>
      <c r="U272" s="36">
        <v>0</v>
      </c>
      <c r="X272" s="26" t="s">
        <v>224</v>
      </c>
    </row>
    <row r="273" spans="1:24" s="32" customFormat="1" ht="29" x14ac:dyDescent="0.35">
      <c r="A273" s="32" t="s">
        <v>239</v>
      </c>
      <c r="B273" s="32" t="s">
        <v>240</v>
      </c>
      <c r="C273" s="32" t="s">
        <v>240</v>
      </c>
      <c r="D273" s="32" t="s">
        <v>117</v>
      </c>
      <c r="E273" s="32" t="s">
        <v>222</v>
      </c>
      <c r="F273" s="32" t="s">
        <v>30</v>
      </c>
      <c r="G273" s="32" t="s">
        <v>30</v>
      </c>
      <c r="J273" s="32" t="s">
        <v>31</v>
      </c>
      <c r="L273" s="32" t="s">
        <v>223</v>
      </c>
      <c r="N273" s="63">
        <v>45322</v>
      </c>
      <c r="O273" s="63">
        <v>45687</v>
      </c>
      <c r="P273" s="32">
        <v>52</v>
      </c>
      <c r="Q273" s="32" t="s">
        <v>49</v>
      </c>
      <c r="R273" s="64">
        <v>300000000</v>
      </c>
      <c r="T273" s="32">
        <v>0</v>
      </c>
      <c r="U273" s="32">
        <v>0</v>
      </c>
      <c r="X273" s="32" t="s">
        <v>224</v>
      </c>
    </row>
    <row r="274" spans="1:24" ht="29" x14ac:dyDescent="0.35">
      <c r="A274" s="26" t="s">
        <v>241</v>
      </c>
      <c r="B274" s="32" t="s">
        <v>242</v>
      </c>
      <c r="C274" s="26" t="s">
        <v>242</v>
      </c>
      <c r="D274" s="26" t="s">
        <v>28</v>
      </c>
      <c r="E274" s="26" t="s">
        <v>222</v>
      </c>
      <c r="F274" s="26" t="s">
        <v>30</v>
      </c>
      <c r="G274" s="26" t="s">
        <v>30</v>
      </c>
      <c r="J274" s="26" t="s">
        <v>31</v>
      </c>
      <c r="L274" s="26" t="s">
        <v>32</v>
      </c>
      <c r="N274" s="28">
        <v>45323</v>
      </c>
      <c r="O274" s="28">
        <v>45688</v>
      </c>
      <c r="P274" s="26">
        <v>52</v>
      </c>
      <c r="Q274" s="35" t="s">
        <v>49</v>
      </c>
      <c r="R274" s="29">
        <v>50000000</v>
      </c>
      <c r="S274" s="26"/>
      <c r="T274" s="29">
        <v>0</v>
      </c>
      <c r="U274" s="36">
        <v>0</v>
      </c>
      <c r="X274" s="26" t="s">
        <v>100</v>
      </c>
    </row>
    <row r="275" spans="1:24" x14ac:dyDescent="0.35">
      <c r="A275" s="26" t="s">
        <v>243</v>
      </c>
      <c r="B275" s="32" t="s">
        <v>244</v>
      </c>
      <c r="C275" s="26" t="s">
        <v>244</v>
      </c>
      <c r="D275" s="26" t="s">
        <v>28</v>
      </c>
      <c r="E275" s="26" t="s">
        <v>222</v>
      </c>
      <c r="F275" s="26" t="s">
        <v>30</v>
      </c>
      <c r="G275" s="26" t="s">
        <v>30</v>
      </c>
      <c r="J275" s="26" t="s">
        <v>31</v>
      </c>
      <c r="L275" s="26" t="s">
        <v>40</v>
      </c>
      <c r="N275" s="28">
        <v>45324</v>
      </c>
      <c r="O275" s="28">
        <v>45689</v>
      </c>
      <c r="P275" s="26">
        <v>52</v>
      </c>
      <c r="Q275" s="35" t="s">
        <v>49</v>
      </c>
      <c r="R275" s="29">
        <v>1000000000</v>
      </c>
      <c r="S275" s="26"/>
      <c r="T275" s="29">
        <v>0</v>
      </c>
      <c r="U275" s="36">
        <v>0</v>
      </c>
      <c r="X275" s="26" t="s">
        <v>224</v>
      </c>
    </row>
    <row r="276" spans="1:24" x14ac:dyDescent="0.35">
      <c r="A276" s="26" t="s">
        <v>245</v>
      </c>
      <c r="B276" s="32" t="s">
        <v>246</v>
      </c>
      <c r="C276" s="26" t="s">
        <v>246</v>
      </c>
      <c r="D276" s="26" t="s">
        <v>28</v>
      </c>
      <c r="E276" s="26" t="s">
        <v>222</v>
      </c>
      <c r="F276" s="26" t="s">
        <v>30</v>
      </c>
      <c r="G276" s="26" t="s">
        <v>30</v>
      </c>
      <c r="J276" s="26" t="s">
        <v>31</v>
      </c>
      <c r="L276" s="26" t="s">
        <v>32</v>
      </c>
      <c r="N276" s="28">
        <v>45325</v>
      </c>
      <c r="O276" s="28">
        <v>45690</v>
      </c>
      <c r="P276" s="26">
        <v>52</v>
      </c>
      <c r="Q276" s="35" t="s">
        <v>49</v>
      </c>
      <c r="R276" s="29">
        <v>800000000</v>
      </c>
      <c r="S276" s="26"/>
      <c r="T276" s="29">
        <v>0</v>
      </c>
      <c r="U276" s="36">
        <v>0</v>
      </c>
      <c r="X276" s="26" t="s">
        <v>224</v>
      </c>
    </row>
    <row r="277" spans="1:24" ht="29" x14ac:dyDescent="0.35">
      <c r="A277" s="26" t="s">
        <v>247</v>
      </c>
      <c r="B277" s="32" t="s">
        <v>248</v>
      </c>
      <c r="C277" s="26" t="s">
        <v>248</v>
      </c>
      <c r="D277" s="26" t="s">
        <v>28</v>
      </c>
      <c r="E277" s="26" t="s">
        <v>222</v>
      </c>
      <c r="F277" s="26" t="s">
        <v>30</v>
      </c>
      <c r="G277" s="26" t="s">
        <v>30</v>
      </c>
      <c r="J277" s="26" t="s">
        <v>31</v>
      </c>
      <c r="L277" s="26" t="s">
        <v>223</v>
      </c>
      <c r="N277" s="28">
        <v>45326</v>
      </c>
      <c r="O277" s="28">
        <v>45691</v>
      </c>
      <c r="P277" s="26">
        <v>52</v>
      </c>
      <c r="Q277" s="35" t="s">
        <v>49</v>
      </c>
      <c r="R277" s="29">
        <v>500000000</v>
      </c>
      <c r="S277" s="26"/>
      <c r="T277" s="50">
        <v>0</v>
      </c>
      <c r="U277" s="36">
        <v>0</v>
      </c>
      <c r="X277" s="26" t="s">
        <v>224</v>
      </c>
    </row>
    <row r="278" spans="1:24" x14ac:dyDescent="0.35">
      <c r="A278" s="26" t="s">
        <v>249</v>
      </c>
      <c r="B278" s="32" t="s">
        <v>250</v>
      </c>
      <c r="C278" s="26" t="s">
        <v>250</v>
      </c>
      <c r="D278" s="26" t="s">
        <v>117</v>
      </c>
      <c r="E278" s="26" t="s">
        <v>222</v>
      </c>
      <c r="F278" s="26" t="s">
        <v>30</v>
      </c>
      <c r="G278" s="26" t="s">
        <v>30</v>
      </c>
      <c r="J278" s="26" t="s">
        <v>31</v>
      </c>
      <c r="L278" s="26" t="s">
        <v>223</v>
      </c>
      <c r="N278" s="28">
        <v>45327</v>
      </c>
      <c r="O278" s="28">
        <v>45692</v>
      </c>
      <c r="P278" s="26">
        <v>52</v>
      </c>
      <c r="Q278" s="35" t="s">
        <v>49</v>
      </c>
      <c r="R278" s="29">
        <v>400000000</v>
      </c>
      <c r="S278" s="26"/>
      <c r="T278" s="29">
        <v>0</v>
      </c>
      <c r="U278" s="36">
        <v>0</v>
      </c>
      <c r="X278" s="26" t="s">
        <v>224</v>
      </c>
    </row>
    <row r="279" spans="1:24" x14ac:dyDescent="0.35">
      <c r="A279" s="26" t="s">
        <v>251</v>
      </c>
      <c r="B279" s="32" t="s">
        <v>252</v>
      </c>
      <c r="C279" s="26" t="s">
        <v>252</v>
      </c>
      <c r="D279" s="26" t="s">
        <v>253</v>
      </c>
      <c r="E279" s="26" t="s">
        <v>222</v>
      </c>
      <c r="F279" s="26" t="s">
        <v>30</v>
      </c>
      <c r="G279" s="26" t="s">
        <v>30</v>
      </c>
      <c r="J279" s="26" t="s">
        <v>31</v>
      </c>
      <c r="L279" s="26" t="s">
        <v>223</v>
      </c>
      <c r="N279" s="28">
        <v>45328</v>
      </c>
      <c r="O279" s="28">
        <v>45693</v>
      </c>
      <c r="P279" s="26">
        <v>52</v>
      </c>
      <c r="Q279" s="35" t="s">
        <v>49</v>
      </c>
      <c r="R279" s="29">
        <v>1000000000</v>
      </c>
      <c r="S279" s="26"/>
      <c r="T279" s="29">
        <v>0</v>
      </c>
      <c r="U279" s="36">
        <v>0</v>
      </c>
      <c r="X279" s="26" t="s">
        <v>224</v>
      </c>
    </row>
    <row r="280" spans="1:24" ht="29" x14ac:dyDescent="0.35">
      <c r="A280" s="26" t="s">
        <v>254</v>
      </c>
      <c r="B280" s="32" t="s">
        <v>255</v>
      </c>
      <c r="C280" s="26" t="s">
        <v>255</v>
      </c>
      <c r="D280" s="26" t="s">
        <v>77</v>
      </c>
      <c r="E280" s="26" t="s">
        <v>222</v>
      </c>
      <c r="F280" s="26" t="s">
        <v>30</v>
      </c>
      <c r="G280" s="26" t="s">
        <v>30</v>
      </c>
      <c r="J280" s="26" t="s">
        <v>31</v>
      </c>
      <c r="L280" s="26" t="s">
        <v>223</v>
      </c>
      <c r="N280" s="28">
        <v>45329</v>
      </c>
      <c r="O280" s="28">
        <v>45694</v>
      </c>
      <c r="P280" s="26">
        <v>52</v>
      </c>
      <c r="Q280" s="35" t="s">
        <v>49</v>
      </c>
      <c r="R280" s="29">
        <v>1000000000</v>
      </c>
      <c r="S280" s="26"/>
      <c r="T280" s="29">
        <v>0</v>
      </c>
      <c r="U280" s="36">
        <v>0</v>
      </c>
      <c r="X280" s="26" t="s">
        <v>224</v>
      </c>
    </row>
    <row r="281" spans="1:24" ht="29" x14ac:dyDescent="0.35">
      <c r="A281" s="26" t="s">
        <v>256</v>
      </c>
      <c r="B281" s="32" t="s">
        <v>257</v>
      </c>
      <c r="C281" s="26" t="s">
        <v>257</v>
      </c>
      <c r="D281" s="26" t="s">
        <v>28</v>
      </c>
      <c r="E281" s="26" t="s">
        <v>222</v>
      </c>
      <c r="F281" s="26" t="s">
        <v>30</v>
      </c>
      <c r="G281" s="26" t="s">
        <v>30</v>
      </c>
      <c r="J281" s="26" t="s">
        <v>31</v>
      </c>
      <c r="L281" s="26" t="s">
        <v>223</v>
      </c>
      <c r="N281" s="28">
        <v>45330</v>
      </c>
      <c r="O281" s="28">
        <v>45695</v>
      </c>
      <c r="P281" s="26">
        <v>52</v>
      </c>
      <c r="Q281" s="35" t="s">
        <v>49</v>
      </c>
      <c r="R281" s="29">
        <v>150000000</v>
      </c>
      <c r="S281" s="26"/>
      <c r="T281" s="29">
        <v>0</v>
      </c>
      <c r="U281" s="36">
        <v>0</v>
      </c>
      <c r="X281" s="26" t="s">
        <v>224</v>
      </c>
    </row>
    <row r="282" spans="1:24" x14ac:dyDescent="0.35">
      <c r="A282" s="26" t="s">
        <v>258</v>
      </c>
      <c r="B282" s="32" t="s">
        <v>259</v>
      </c>
      <c r="C282" s="26" t="s">
        <v>259</v>
      </c>
      <c r="D282" s="26" t="s">
        <v>260</v>
      </c>
      <c r="E282" s="26" t="s">
        <v>222</v>
      </c>
      <c r="F282" s="26" t="s">
        <v>30</v>
      </c>
      <c r="G282" s="26" t="s">
        <v>30</v>
      </c>
      <c r="J282" s="26" t="s">
        <v>31</v>
      </c>
      <c r="L282" s="26" t="s">
        <v>223</v>
      </c>
      <c r="N282" s="28">
        <v>45331</v>
      </c>
      <c r="O282" s="28">
        <v>45696</v>
      </c>
      <c r="P282" s="26">
        <v>52</v>
      </c>
      <c r="Q282" s="35" t="s">
        <v>49</v>
      </c>
      <c r="R282" s="29">
        <v>200000000</v>
      </c>
      <c r="S282" s="26"/>
      <c r="T282" s="29">
        <v>0</v>
      </c>
      <c r="U282" s="36">
        <v>0</v>
      </c>
      <c r="X282" s="26" t="s">
        <v>224</v>
      </c>
    </row>
    <row r="283" spans="1:24" x14ac:dyDescent="0.35">
      <c r="A283" s="26" t="s">
        <v>261</v>
      </c>
      <c r="B283" s="32" t="s">
        <v>262</v>
      </c>
      <c r="C283" s="26" t="s">
        <v>262</v>
      </c>
      <c r="D283" s="26" t="s">
        <v>117</v>
      </c>
      <c r="E283" s="26" t="s">
        <v>222</v>
      </c>
      <c r="F283" s="26" t="s">
        <v>30</v>
      </c>
      <c r="G283" s="26" t="s">
        <v>30</v>
      </c>
      <c r="J283" s="26" t="s">
        <v>31</v>
      </c>
      <c r="L283" s="26" t="s">
        <v>223</v>
      </c>
      <c r="N283" s="28">
        <v>45332</v>
      </c>
      <c r="O283" s="28">
        <v>45697</v>
      </c>
      <c r="P283" s="26">
        <v>52</v>
      </c>
      <c r="Q283" s="35" t="s">
        <v>49</v>
      </c>
      <c r="R283" s="29">
        <v>500000000</v>
      </c>
      <c r="S283" s="26"/>
      <c r="T283" s="29">
        <v>0</v>
      </c>
      <c r="U283" s="36">
        <v>0</v>
      </c>
      <c r="X283" s="26" t="s">
        <v>224</v>
      </c>
    </row>
    <row r="284" spans="1:24" x14ac:dyDescent="0.35">
      <c r="A284" s="26" t="s">
        <v>263</v>
      </c>
      <c r="B284" s="32" t="s">
        <v>264</v>
      </c>
      <c r="C284" s="26" t="s">
        <v>264</v>
      </c>
      <c r="D284" s="26" t="s">
        <v>265</v>
      </c>
      <c r="E284" s="26" t="s">
        <v>222</v>
      </c>
      <c r="F284" s="26" t="s">
        <v>30</v>
      </c>
      <c r="G284" s="26" t="s">
        <v>30</v>
      </c>
      <c r="J284" s="26" t="s">
        <v>31</v>
      </c>
      <c r="L284" s="26" t="s">
        <v>223</v>
      </c>
      <c r="N284" s="28">
        <v>45333</v>
      </c>
      <c r="O284" s="28">
        <v>45698</v>
      </c>
      <c r="P284" s="26">
        <v>52</v>
      </c>
      <c r="Q284" s="35" t="s">
        <v>49</v>
      </c>
      <c r="R284" s="29">
        <v>300000000</v>
      </c>
      <c r="S284" s="26"/>
      <c r="T284" s="29">
        <v>0</v>
      </c>
      <c r="U284" s="36">
        <v>0</v>
      </c>
      <c r="X284" s="26" t="s">
        <v>224</v>
      </c>
    </row>
    <row r="285" spans="1:24" x14ac:dyDescent="0.35">
      <c r="A285" s="26" t="s">
        <v>266</v>
      </c>
      <c r="B285" s="32" t="s">
        <v>267</v>
      </c>
      <c r="C285" s="26" t="s">
        <v>267</v>
      </c>
      <c r="D285" s="26" t="s">
        <v>229</v>
      </c>
      <c r="E285" s="26" t="s">
        <v>222</v>
      </c>
      <c r="F285" s="26" t="s">
        <v>30</v>
      </c>
      <c r="G285" s="26" t="s">
        <v>30</v>
      </c>
      <c r="J285" s="26" t="s">
        <v>31</v>
      </c>
      <c r="L285" s="26" t="s">
        <v>223</v>
      </c>
      <c r="N285" s="28">
        <v>45334</v>
      </c>
      <c r="O285" s="28">
        <v>45699</v>
      </c>
      <c r="P285" s="26">
        <v>52</v>
      </c>
      <c r="Q285" s="35" t="s">
        <v>49</v>
      </c>
      <c r="R285" s="29">
        <v>500000000</v>
      </c>
      <c r="S285" s="26"/>
      <c r="T285" s="29">
        <v>0</v>
      </c>
      <c r="U285" s="36">
        <v>0</v>
      </c>
      <c r="X285" s="26" t="s">
        <v>224</v>
      </c>
    </row>
    <row r="286" spans="1:24" x14ac:dyDescent="0.35">
      <c r="A286" s="26" t="s">
        <v>268</v>
      </c>
      <c r="B286" s="32" t="s">
        <v>269</v>
      </c>
      <c r="C286" s="26" t="s">
        <v>269</v>
      </c>
      <c r="D286" s="26" t="s">
        <v>270</v>
      </c>
      <c r="E286" s="26" t="s">
        <v>222</v>
      </c>
      <c r="F286" s="26" t="s">
        <v>30</v>
      </c>
      <c r="G286" s="26" t="s">
        <v>30</v>
      </c>
      <c r="J286" s="26" t="s">
        <v>31</v>
      </c>
      <c r="L286" s="26" t="s">
        <v>223</v>
      </c>
      <c r="N286" s="28">
        <v>45335</v>
      </c>
      <c r="O286" s="28">
        <v>45700</v>
      </c>
      <c r="P286" s="26">
        <v>52</v>
      </c>
      <c r="Q286" s="35" t="s">
        <v>49</v>
      </c>
      <c r="R286" s="29">
        <v>1150000000</v>
      </c>
      <c r="S286" s="26"/>
      <c r="T286" s="29">
        <v>0</v>
      </c>
      <c r="U286" s="36">
        <v>0</v>
      </c>
      <c r="X286" s="26" t="s">
        <v>224</v>
      </c>
    </row>
    <row r="287" spans="1:24" ht="29" x14ac:dyDescent="0.35">
      <c r="A287" s="26" t="s">
        <v>271</v>
      </c>
      <c r="B287" s="32" t="s">
        <v>272</v>
      </c>
      <c r="C287" s="26" t="s">
        <v>272</v>
      </c>
      <c r="D287" s="26" t="s">
        <v>229</v>
      </c>
      <c r="E287" s="26" t="s">
        <v>222</v>
      </c>
      <c r="F287" s="26" t="s">
        <v>30</v>
      </c>
      <c r="G287" s="26" t="s">
        <v>30</v>
      </c>
      <c r="J287" s="26" t="s">
        <v>31</v>
      </c>
      <c r="L287" s="26" t="s">
        <v>223</v>
      </c>
      <c r="N287" s="28">
        <v>45336</v>
      </c>
      <c r="O287" s="28">
        <v>45701</v>
      </c>
      <c r="P287" s="26">
        <v>52</v>
      </c>
      <c r="Q287" s="35" t="s">
        <v>49</v>
      </c>
      <c r="R287" s="29">
        <v>100000000</v>
      </c>
      <c r="S287" s="26"/>
      <c r="T287" s="29">
        <v>0</v>
      </c>
      <c r="U287" s="36">
        <v>0</v>
      </c>
      <c r="X287" s="26" t="s">
        <v>224</v>
      </c>
    </row>
    <row r="288" spans="1:24" ht="29" x14ac:dyDescent="0.35">
      <c r="A288" s="26" t="s">
        <v>273</v>
      </c>
      <c r="B288" s="32" t="s">
        <v>274</v>
      </c>
      <c r="C288" s="26" t="s">
        <v>274</v>
      </c>
      <c r="D288" s="26" t="s">
        <v>229</v>
      </c>
      <c r="E288" s="26" t="s">
        <v>222</v>
      </c>
      <c r="F288" s="26" t="s">
        <v>30</v>
      </c>
      <c r="G288" s="26" t="s">
        <v>30</v>
      </c>
      <c r="J288" s="26" t="s">
        <v>31</v>
      </c>
      <c r="L288" s="26" t="s">
        <v>223</v>
      </c>
      <c r="N288" s="28">
        <v>45337</v>
      </c>
      <c r="O288" s="28">
        <v>45702</v>
      </c>
      <c r="P288" s="26">
        <v>52</v>
      </c>
      <c r="Q288" s="35" t="s">
        <v>49</v>
      </c>
      <c r="R288" s="29">
        <v>200000000</v>
      </c>
      <c r="S288" s="26"/>
      <c r="T288" s="29">
        <v>0</v>
      </c>
      <c r="U288" s="36">
        <v>0</v>
      </c>
      <c r="X288" s="26" t="s">
        <v>224</v>
      </c>
    </row>
    <row r="289" spans="1:24" x14ac:dyDescent="0.35">
      <c r="A289" s="26" t="s">
        <v>275</v>
      </c>
      <c r="B289" s="32" t="s">
        <v>276</v>
      </c>
      <c r="C289" s="26" t="s">
        <v>276</v>
      </c>
      <c r="D289" s="26" t="s">
        <v>28</v>
      </c>
      <c r="E289" s="26" t="s">
        <v>222</v>
      </c>
      <c r="F289" s="26" t="s">
        <v>30</v>
      </c>
      <c r="G289" s="26" t="s">
        <v>30</v>
      </c>
      <c r="J289" s="26" t="s">
        <v>31</v>
      </c>
      <c r="L289" s="26" t="s">
        <v>223</v>
      </c>
      <c r="N289" s="28">
        <v>45338</v>
      </c>
      <c r="O289" s="28">
        <v>45703</v>
      </c>
      <c r="P289" s="26">
        <v>52</v>
      </c>
      <c r="Q289" s="35" t="s">
        <v>49</v>
      </c>
      <c r="R289" s="29">
        <v>500000000</v>
      </c>
      <c r="S289" s="26"/>
      <c r="T289" s="29">
        <v>0</v>
      </c>
      <c r="U289" s="36">
        <v>0</v>
      </c>
      <c r="X289" s="26" t="s">
        <v>224</v>
      </c>
    </row>
    <row r="290" spans="1:24" ht="29" x14ac:dyDescent="0.35">
      <c r="A290" s="26" t="s">
        <v>277</v>
      </c>
      <c r="B290" s="32" t="s">
        <v>278</v>
      </c>
      <c r="C290" s="26" t="s">
        <v>278</v>
      </c>
      <c r="D290" s="26" t="s">
        <v>109</v>
      </c>
      <c r="E290" s="26" t="s">
        <v>222</v>
      </c>
      <c r="F290" s="26" t="s">
        <v>30</v>
      </c>
      <c r="G290" s="26" t="s">
        <v>30</v>
      </c>
      <c r="J290" s="26" t="s">
        <v>31</v>
      </c>
      <c r="L290" s="26" t="s">
        <v>223</v>
      </c>
      <c r="N290" s="28">
        <v>45339</v>
      </c>
      <c r="O290" s="28">
        <v>45704</v>
      </c>
      <c r="P290" s="26">
        <v>52</v>
      </c>
      <c r="Q290" s="35" t="s">
        <v>49</v>
      </c>
      <c r="R290" s="50">
        <v>700000000</v>
      </c>
      <c r="S290" s="26"/>
      <c r="T290" s="50">
        <v>0</v>
      </c>
      <c r="U290" s="36">
        <v>0</v>
      </c>
      <c r="X290" s="26" t="s">
        <v>224</v>
      </c>
    </row>
    <row r="291" spans="1:24" x14ac:dyDescent="0.35">
      <c r="A291" s="26" t="s">
        <v>279</v>
      </c>
      <c r="B291" s="32" t="s">
        <v>280</v>
      </c>
      <c r="C291" s="26" t="s">
        <v>280</v>
      </c>
      <c r="D291" s="26" t="s">
        <v>28</v>
      </c>
      <c r="E291" s="26" t="s">
        <v>222</v>
      </c>
      <c r="F291" s="26" t="s">
        <v>30</v>
      </c>
      <c r="G291" s="26" t="s">
        <v>30</v>
      </c>
      <c r="J291" s="26" t="s">
        <v>31</v>
      </c>
      <c r="L291" s="26" t="s">
        <v>223</v>
      </c>
      <c r="N291" s="28">
        <v>45340</v>
      </c>
      <c r="O291" s="28">
        <v>45705</v>
      </c>
      <c r="P291" s="26">
        <v>52</v>
      </c>
      <c r="Q291" s="35" t="s">
        <v>49</v>
      </c>
      <c r="R291" s="29">
        <v>1500000000</v>
      </c>
      <c r="S291" s="26"/>
      <c r="T291" s="29">
        <v>0</v>
      </c>
      <c r="U291" s="36">
        <v>0</v>
      </c>
      <c r="X291" s="26" t="s">
        <v>224</v>
      </c>
    </row>
    <row r="292" spans="1:24" ht="29" x14ac:dyDescent="0.35">
      <c r="A292" s="26" t="s">
        <v>281</v>
      </c>
      <c r="B292" s="32" t="s">
        <v>282</v>
      </c>
      <c r="C292" s="26" t="s">
        <v>282</v>
      </c>
      <c r="D292" s="26" t="s">
        <v>95</v>
      </c>
      <c r="E292" s="26" t="s">
        <v>222</v>
      </c>
      <c r="F292" s="26" t="s">
        <v>30</v>
      </c>
      <c r="G292" s="26" t="s">
        <v>30</v>
      </c>
      <c r="J292" s="26" t="s">
        <v>31</v>
      </c>
      <c r="L292" s="26" t="s">
        <v>223</v>
      </c>
      <c r="N292" s="28">
        <v>45341</v>
      </c>
      <c r="O292" s="28">
        <v>45706</v>
      </c>
      <c r="P292" s="26">
        <v>52</v>
      </c>
      <c r="Q292" s="35" t="s">
        <v>49</v>
      </c>
      <c r="R292" s="29">
        <v>200000000</v>
      </c>
      <c r="S292" s="26"/>
      <c r="T292" s="29">
        <v>0</v>
      </c>
      <c r="U292" s="36">
        <v>0</v>
      </c>
      <c r="X292" s="26" t="s">
        <v>224</v>
      </c>
    </row>
    <row r="293" spans="1:24" x14ac:dyDescent="0.35">
      <c r="A293" s="26" t="s">
        <v>283</v>
      </c>
      <c r="B293" s="32" t="s">
        <v>284</v>
      </c>
      <c r="C293" s="26" t="s">
        <v>284</v>
      </c>
      <c r="D293" s="26" t="s">
        <v>285</v>
      </c>
      <c r="E293" s="26" t="s">
        <v>222</v>
      </c>
      <c r="F293" s="26" t="s">
        <v>30</v>
      </c>
      <c r="G293" s="26" t="s">
        <v>30</v>
      </c>
      <c r="J293" s="26" t="s">
        <v>31</v>
      </c>
      <c r="L293" s="26" t="s">
        <v>223</v>
      </c>
      <c r="N293" s="28">
        <v>45342</v>
      </c>
      <c r="O293" s="28">
        <v>45707</v>
      </c>
      <c r="P293" s="26">
        <v>52</v>
      </c>
      <c r="Q293" s="35" t="s">
        <v>49</v>
      </c>
      <c r="R293" s="29">
        <v>150000000</v>
      </c>
      <c r="S293" s="26"/>
      <c r="T293" s="29">
        <v>0</v>
      </c>
      <c r="U293" s="36">
        <v>0</v>
      </c>
      <c r="X293" s="26" t="s">
        <v>224</v>
      </c>
    </row>
    <row r="294" spans="1:24" x14ac:dyDescent="0.35">
      <c r="A294" s="26" t="s">
        <v>286</v>
      </c>
      <c r="B294" s="32" t="s">
        <v>287</v>
      </c>
      <c r="C294" s="26" t="s">
        <v>287</v>
      </c>
      <c r="D294" s="26" t="s">
        <v>109</v>
      </c>
      <c r="E294" s="26" t="s">
        <v>222</v>
      </c>
      <c r="F294" s="26" t="s">
        <v>30</v>
      </c>
      <c r="G294" s="26" t="s">
        <v>30</v>
      </c>
      <c r="J294" s="26" t="s">
        <v>31</v>
      </c>
      <c r="L294" s="26" t="s">
        <v>223</v>
      </c>
      <c r="N294" s="28">
        <v>45343</v>
      </c>
      <c r="O294" s="28">
        <v>45708</v>
      </c>
      <c r="P294" s="26">
        <v>52</v>
      </c>
      <c r="Q294" s="35" t="s">
        <v>49</v>
      </c>
      <c r="R294" s="29">
        <v>300000000</v>
      </c>
      <c r="S294" s="26"/>
      <c r="T294" s="29">
        <v>0</v>
      </c>
      <c r="U294" s="36">
        <v>0</v>
      </c>
      <c r="X294" s="26" t="s">
        <v>224</v>
      </c>
    </row>
    <row r="295" spans="1:24" x14ac:dyDescent="0.35">
      <c r="A295" s="26" t="s">
        <v>288</v>
      </c>
      <c r="B295" s="32" t="s">
        <v>289</v>
      </c>
      <c r="C295" s="26" t="s">
        <v>289</v>
      </c>
      <c r="D295" s="26" t="s">
        <v>290</v>
      </c>
      <c r="E295" s="26" t="s">
        <v>222</v>
      </c>
      <c r="F295" s="26" t="s">
        <v>30</v>
      </c>
      <c r="G295" s="26" t="s">
        <v>30</v>
      </c>
      <c r="J295" s="26" t="s">
        <v>31</v>
      </c>
      <c r="L295" s="26" t="s">
        <v>223</v>
      </c>
      <c r="N295" s="28">
        <v>45344</v>
      </c>
      <c r="O295" s="28">
        <v>45709</v>
      </c>
      <c r="P295" s="26">
        <v>52</v>
      </c>
      <c r="Q295" s="35" t="s">
        <v>49</v>
      </c>
      <c r="R295" s="29">
        <v>1500000000</v>
      </c>
      <c r="S295" s="26"/>
      <c r="T295" s="29">
        <v>0</v>
      </c>
      <c r="U295" s="36">
        <v>0</v>
      </c>
      <c r="X295" s="26" t="s">
        <v>224</v>
      </c>
    </row>
    <row r="296" spans="1:24" x14ac:dyDescent="0.35">
      <c r="A296" s="26" t="s">
        <v>291</v>
      </c>
      <c r="B296" s="32" t="s">
        <v>292</v>
      </c>
      <c r="C296" s="26" t="s">
        <v>292</v>
      </c>
      <c r="D296" s="26" t="s">
        <v>117</v>
      </c>
      <c r="E296" s="26" t="s">
        <v>222</v>
      </c>
      <c r="F296" s="26" t="s">
        <v>30</v>
      </c>
      <c r="G296" s="26" t="s">
        <v>30</v>
      </c>
      <c r="J296" s="26" t="s">
        <v>31</v>
      </c>
      <c r="L296" s="26" t="s">
        <v>223</v>
      </c>
      <c r="N296" s="28">
        <v>45345</v>
      </c>
      <c r="O296" s="28">
        <v>45710</v>
      </c>
      <c r="P296" s="26">
        <v>52</v>
      </c>
      <c r="Q296" s="35" t="s">
        <v>49</v>
      </c>
      <c r="R296" s="29">
        <v>500000000</v>
      </c>
      <c r="S296" s="26"/>
      <c r="T296" s="29">
        <v>0</v>
      </c>
      <c r="U296" s="36">
        <v>0</v>
      </c>
      <c r="X296" s="26" t="s">
        <v>224</v>
      </c>
    </row>
    <row r="297" spans="1:24" x14ac:dyDescent="0.35">
      <c r="A297" s="26" t="s">
        <v>293</v>
      </c>
      <c r="B297" s="32" t="s">
        <v>294</v>
      </c>
      <c r="C297" s="26" t="s">
        <v>294</v>
      </c>
      <c r="D297" s="26" t="s">
        <v>28</v>
      </c>
      <c r="E297" s="26" t="s">
        <v>222</v>
      </c>
      <c r="F297" s="26" t="s">
        <v>30</v>
      </c>
      <c r="G297" s="26" t="s">
        <v>30</v>
      </c>
      <c r="J297" s="26" t="s">
        <v>31</v>
      </c>
      <c r="L297" s="26" t="s">
        <v>223</v>
      </c>
      <c r="N297" s="28">
        <v>45346</v>
      </c>
      <c r="O297" s="28">
        <v>45711</v>
      </c>
      <c r="P297" s="26">
        <v>52</v>
      </c>
      <c r="Q297" s="35" t="s">
        <v>49</v>
      </c>
      <c r="R297" s="29">
        <v>500000000</v>
      </c>
      <c r="S297" s="26"/>
      <c r="T297" s="29">
        <v>0</v>
      </c>
      <c r="U297" s="36">
        <v>0</v>
      </c>
      <c r="X297" s="26" t="s">
        <v>224</v>
      </c>
    </row>
    <row r="298" spans="1:24" x14ac:dyDescent="0.35">
      <c r="A298" s="26" t="s">
        <v>295</v>
      </c>
      <c r="B298" s="32" t="s">
        <v>296</v>
      </c>
      <c r="C298" s="26" t="s">
        <v>296</v>
      </c>
      <c r="D298" s="26" t="s">
        <v>297</v>
      </c>
      <c r="E298" s="26" t="s">
        <v>222</v>
      </c>
      <c r="F298" s="26" t="s">
        <v>30</v>
      </c>
      <c r="G298" s="26" t="s">
        <v>30</v>
      </c>
      <c r="J298" s="26" t="s">
        <v>31</v>
      </c>
      <c r="L298" s="26" t="s">
        <v>223</v>
      </c>
      <c r="N298" s="28">
        <v>45347</v>
      </c>
      <c r="O298" s="28">
        <v>45712</v>
      </c>
      <c r="P298" s="26">
        <v>52</v>
      </c>
      <c r="Q298" s="35" t="s">
        <v>49</v>
      </c>
      <c r="R298" s="29">
        <v>200000000</v>
      </c>
      <c r="S298" s="26"/>
      <c r="T298" s="29">
        <v>0</v>
      </c>
      <c r="U298" s="36">
        <v>0</v>
      </c>
      <c r="X298" s="26" t="s">
        <v>224</v>
      </c>
    </row>
    <row r="299" spans="1:24" x14ac:dyDescent="0.35">
      <c r="A299" s="26" t="s">
        <v>298</v>
      </c>
      <c r="B299" s="32" t="s">
        <v>299</v>
      </c>
      <c r="C299" s="26" t="s">
        <v>299</v>
      </c>
      <c r="D299" s="26" t="s">
        <v>300</v>
      </c>
      <c r="E299" s="26" t="s">
        <v>222</v>
      </c>
      <c r="F299" s="26" t="s">
        <v>30</v>
      </c>
      <c r="G299" s="26" t="s">
        <v>30</v>
      </c>
      <c r="J299" s="26" t="s">
        <v>31</v>
      </c>
      <c r="L299" s="26" t="s">
        <v>223</v>
      </c>
      <c r="N299" s="28">
        <v>45348</v>
      </c>
      <c r="O299" s="28">
        <v>45713</v>
      </c>
      <c r="P299" s="26">
        <v>52</v>
      </c>
      <c r="Q299" s="35" t="s">
        <v>49</v>
      </c>
      <c r="R299" s="29">
        <v>600000000</v>
      </c>
      <c r="S299" s="26"/>
      <c r="T299" s="29">
        <v>0</v>
      </c>
      <c r="U299" s="36">
        <v>0</v>
      </c>
      <c r="X299" s="26" t="s">
        <v>224</v>
      </c>
    </row>
    <row r="300" spans="1:24" x14ac:dyDescent="0.35">
      <c r="A300" s="26" t="s">
        <v>301</v>
      </c>
      <c r="B300" s="32" t="s">
        <v>302</v>
      </c>
      <c r="C300" s="26" t="s">
        <v>302</v>
      </c>
      <c r="D300" s="26" t="s">
        <v>303</v>
      </c>
      <c r="E300" s="26" t="s">
        <v>222</v>
      </c>
      <c r="F300" s="26" t="s">
        <v>30</v>
      </c>
      <c r="G300" s="26" t="s">
        <v>30</v>
      </c>
      <c r="J300" s="26" t="s">
        <v>31</v>
      </c>
      <c r="L300" s="26" t="s">
        <v>223</v>
      </c>
      <c r="N300" s="28">
        <v>45349</v>
      </c>
      <c r="O300" s="28">
        <v>45714</v>
      </c>
      <c r="P300" s="26">
        <v>52</v>
      </c>
      <c r="Q300" s="35" t="s">
        <v>49</v>
      </c>
      <c r="R300" s="29">
        <v>150000000</v>
      </c>
      <c r="S300" s="26"/>
      <c r="T300" s="29">
        <v>0</v>
      </c>
      <c r="U300" s="36">
        <v>0</v>
      </c>
      <c r="X300" s="26" t="s">
        <v>224</v>
      </c>
    </row>
    <row r="301" spans="1:24" x14ac:dyDescent="0.35">
      <c r="A301" s="26" t="s">
        <v>304</v>
      </c>
      <c r="B301" s="32" t="s">
        <v>305</v>
      </c>
      <c r="C301" s="26" t="s">
        <v>305</v>
      </c>
      <c r="D301" s="26" t="s">
        <v>306</v>
      </c>
      <c r="E301" s="26" t="s">
        <v>222</v>
      </c>
      <c r="F301" s="26" t="s">
        <v>30</v>
      </c>
      <c r="G301" s="26" t="s">
        <v>30</v>
      </c>
      <c r="J301" s="26" t="s">
        <v>31</v>
      </c>
      <c r="L301" s="26" t="s">
        <v>223</v>
      </c>
      <c r="N301" s="28">
        <v>45350</v>
      </c>
      <c r="O301" s="28">
        <v>45715</v>
      </c>
      <c r="P301" s="26">
        <v>52</v>
      </c>
      <c r="Q301" s="35" t="s">
        <v>49</v>
      </c>
      <c r="R301" s="29">
        <v>170000000</v>
      </c>
      <c r="S301" s="26"/>
      <c r="T301" s="29">
        <v>0</v>
      </c>
      <c r="U301" s="36">
        <v>0</v>
      </c>
      <c r="X301" s="26" t="s">
        <v>224</v>
      </c>
    </row>
    <row r="302" spans="1:24" x14ac:dyDescent="0.35">
      <c r="A302" s="26" t="s">
        <v>307</v>
      </c>
      <c r="B302" s="32" t="s">
        <v>308</v>
      </c>
      <c r="C302" s="26" t="s">
        <v>308</v>
      </c>
      <c r="D302" s="26" t="s">
        <v>28</v>
      </c>
      <c r="E302" s="26" t="s">
        <v>222</v>
      </c>
      <c r="F302" s="26" t="s">
        <v>30</v>
      </c>
      <c r="G302" s="26" t="s">
        <v>30</v>
      </c>
      <c r="J302" s="26" t="s">
        <v>31</v>
      </c>
      <c r="L302" s="26" t="s">
        <v>223</v>
      </c>
      <c r="N302" s="28">
        <v>45351</v>
      </c>
      <c r="O302" s="28">
        <v>45716</v>
      </c>
      <c r="P302" s="26">
        <v>52</v>
      </c>
      <c r="Q302" s="35" t="s">
        <v>49</v>
      </c>
      <c r="R302" s="29">
        <v>120000000</v>
      </c>
      <c r="S302" s="26"/>
      <c r="T302" s="29">
        <v>0</v>
      </c>
      <c r="U302" s="36">
        <v>0</v>
      </c>
      <c r="X302" s="26" t="s">
        <v>224</v>
      </c>
    </row>
    <row r="303" spans="1:24" x14ac:dyDescent="0.35">
      <c r="A303" s="26" t="s">
        <v>309</v>
      </c>
      <c r="B303" s="32" t="s">
        <v>310</v>
      </c>
      <c r="C303" s="26" t="s">
        <v>310</v>
      </c>
      <c r="D303" s="26" t="s">
        <v>28</v>
      </c>
      <c r="E303" s="26" t="s">
        <v>222</v>
      </c>
      <c r="F303" s="26" t="s">
        <v>30</v>
      </c>
      <c r="G303" s="26" t="s">
        <v>30</v>
      </c>
      <c r="J303" s="26" t="s">
        <v>31</v>
      </c>
      <c r="L303" s="26" t="s">
        <v>223</v>
      </c>
      <c r="N303" s="28">
        <v>45352</v>
      </c>
      <c r="O303" s="28">
        <v>45717</v>
      </c>
      <c r="P303" s="26">
        <v>52</v>
      </c>
      <c r="Q303" s="35" t="s">
        <v>49</v>
      </c>
      <c r="R303" s="29">
        <v>120000000</v>
      </c>
      <c r="S303" s="26"/>
      <c r="T303" s="29">
        <v>0</v>
      </c>
      <c r="U303" s="36">
        <v>0</v>
      </c>
      <c r="X303" s="26" t="s">
        <v>224</v>
      </c>
    </row>
    <row r="304" spans="1:24" x14ac:dyDescent="0.35">
      <c r="A304" s="26" t="s">
        <v>311</v>
      </c>
      <c r="B304" s="32" t="s">
        <v>312</v>
      </c>
      <c r="C304" s="26" t="s">
        <v>312</v>
      </c>
      <c r="D304" s="26" t="s">
        <v>28</v>
      </c>
      <c r="E304" s="26" t="s">
        <v>222</v>
      </c>
      <c r="F304" s="26" t="s">
        <v>30</v>
      </c>
      <c r="G304" s="26" t="s">
        <v>30</v>
      </c>
      <c r="J304" s="26" t="s">
        <v>31</v>
      </c>
      <c r="L304" s="26" t="s">
        <v>223</v>
      </c>
      <c r="N304" s="28">
        <v>45353</v>
      </c>
      <c r="O304" s="28">
        <v>45718</v>
      </c>
      <c r="P304" s="26">
        <v>52</v>
      </c>
      <c r="Q304" s="35" t="s">
        <v>49</v>
      </c>
      <c r="R304" s="29">
        <v>240000000</v>
      </c>
      <c r="S304" s="26"/>
      <c r="T304" s="29">
        <v>0</v>
      </c>
      <c r="U304" s="36">
        <v>0</v>
      </c>
      <c r="X304" s="26" t="s">
        <v>224</v>
      </c>
    </row>
    <row r="305" spans="1:24" ht="43.5" x14ac:dyDescent="0.35">
      <c r="A305" s="26" t="s">
        <v>2104</v>
      </c>
      <c r="B305" s="32" t="s">
        <v>2105</v>
      </c>
      <c r="C305" s="32" t="s">
        <v>2597</v>
      </c>
      <c r="D305" s="26" t="s">
        <v>28</v>
      </c>
      <c r="E305" s="26" t="s">
        <v>222</v>
      </c>
      <c r="F305" s="26" t="s">
        <v>30</v>
      </c>
      <c r="G305" s="26" t="s">
        <v>30</v>
      </c>
      <c r="J305" s="26" t="s">
        <v>31</v>
      </c>
      <c r="L305" s="26" t="s">
        <v>223</v>
      </c>
      <c r="N305" s="28">
        <v>45353</v>
      </c>
      <c r="O305" s="28">
        <v>45718</v>
      </c>
      <c r="P305" s="26">
        <v>52</v>
      </c>
      <c r="Q305" s="35" t="s">
        <v>34</v>
      </c>
      <c r="R305" s="29">
        <v>1615000000</v>
      </c>
      <c r="S305" s="33"/>
      <c r="T305" s="29">
        <v>3091000000</v>
      </c>
      <c r="U305" s="36">
        <f>T305/R305</f>
        <v>1.9139318885448917</v>
      </c>
      <c r="X305" s="26" t="s">
        <v>224</v>
      </c>
    </row>
    <row r="306" spans="1:24" x14ac:dyDescent="0.35">
      <c r="A306" s="26" t="s">
        <v>630</v>
      </c>
      <c r="B306" s="32" t="s">
        <v>631</v>
      </c>
      <c r="C306" s="26" t="s">
        <v>631</v>
      </c>
      <c r="D306" s="26" t="s">
        <v>28</v>
      </c>
      <c r="E306" s="26" t="s">
        <v>632</v>
      </c>
      <c r="F306" s="26" t="s">
        <v>30</v>
      </c>
      <c r="G306" s="26" t="s">
        <v>30</v>
      </c>
      <c r="J306" s="26" t="s">
        <v>574</v>
      </c>
      <c r="L306" s="26" t="s">
        <v>32</v>
      </c>
      <c r="N306" s="28">
        <v>45292</v>
      </c>
      <c r="O306" s="28">
        <v>45657</v>
      </c>
      <c r="P306" s="26">
        <v>52</v>
      </c>
      <c r="Q306" s="35" t="s">
        <v>49</v>
      </c>
      <c r="R306" s="29">
        <v>4160000000.4000001</v>
      </c>
      <c r="S306" s="26"/>
      <c r="T306" s="29">
        <v>0</v>
      </c>
      <c r="U306" s="36">
        <v>0</v>
      </c>
      <c r="X306" s="26" t="s">
        <v>126</v>
      </c>
    </row>
    <row r="307" spans="1:24" x14ac:dyDescent="0.35">
      <c r="A307" s="26" t="s">
        <v>633</v>
      </c>
      <c r="B307" s="32" t="s">
        <v>634</v>
      </c>
      <c r="C307" s="26" t="s">
        <v>634</v>
      </c>
      <c r="D307" s="26" t="s">
        <v>28</v>
      </c>
      <c r="E307" s="26" t="s">
        <v>632</v>
      </c>
      <c r="F307" s="26" t="s">
        <v>30</v>
      </c>
      <c r="G307" s="26" t="s">
        <v>30</v>
      </c>
      <c r="J307" s="26" t="s">
        <v>574</v>
      </c>
      <c r="L307" s="26" t="s">
        <v>32</v>
      </c>
      <c r="N307" s="28">
        <v>45292</v>
      </c>
      <c r="O307" s="28">
        <v>45657</v>
      </c>
      <c r="P307" s="26">
        <v>52</v>
      </c>
      <c r="Q307" s="35" t="s">
        <v>49</v>
      </c>
      <c r="R307" s="29">
        <v>300000000</v>
      </c>
      <c r="S307" s="26"/>
      <c r="T307" s="29">
        <v>0</v>
      </c>
      <c r="U307" s="36">
        <v>0</v>
      </c>
      <c r="X307" s="26" t="s">
        <v>126</v>
      </c>
    </row>
    <row r="308" spans="1:24" x14ac:dyDescent="0.35">
      <c r="A308" s="26" t="s">
        <v>635</v>
      </c>
      <c r="B308" s="32" t="s">
        <v>636</v>
      </c>
      <c r="C308" s="26" t="s">
        <v>636</v>
      </c>
      <c r="D308" s="26" t="s">
        <v>28</v>
      </c>
      <c r="E308" s="26" t="s">
        <v>632</v>
      </c>
      <c r="F308" s="26" t="s">
        <v>30</v>
      </c>
      <c r="G308" s="26" t="s">
        <v>30</v>
      </c>
      <c r="J308" s="26" t="s">
        <v>574</v>
      </c>
      <c r="L308" s="26" t="s">
        <v>32</v>
      </c>
      <c r="N308" s="28">
        <v>45292</v>
      </c>
      <c r="O308" s="28">
        <v>45657</v>
      </c>
      <c r="P308" s="26">
        <v>52</v>
      </c>
      <c r="Q308" s="35" t="s">
        <v>49</v>
      </c>
      <c r="R308" s="50">
        <v>300000000</v>
      </c>
      <c r="S308" s="26"/>
      <c r="T308" s="50">
        <v>0</v>
      </c>
      <c r="U308" s="36">
        <v>0</v>
      </c>
      <c r="X308" s="26" t="s">
        <v>126</v>
      </c>
    </row>
    <row r="309" spans="1:24" x14ac:dyDescent="0.35">
      <c r="A309" s="26" t="s">
        <v>637</v>
      </c>
      <c r="B309" s="32" t="s">
        <v>638</v>
      </c>
      <c r="C309" s="26" t="s">
        <v>638</v>
      </c>
      <c r="D309" s="26" t="s">
        <v>28</v>
      </c>
      <c r="E309" s="26" t="s">
        <v>632</v>
      </c>
      <c r="F309" s="26" t="s">
        <v>30</v>
      </c>
      <c r="G309" s="26" t="s">
        <v>30</v>
      </c>
      <c r="J309" s="26" t="s">
        <v>574</v>
      </c>
      <c r="L309" s="26" t="s">
        <v>40</v>
      </c>
      <c r="N309" s="28">
        <v>45292</v>
      </c>
      <c r="O309" s="28">
        <v>45657</v>
      </c>
      <c r="P309" s="26">
        <v>52</v>
      </c>
      <c r="Q309" s="35" t="s">
        <v>49</v>
      </c>
      <c r="R309" s="29">
        <v>800000000</v>
      </c>
      <c r="S309" s="26"/>
      <c r="T309" s="29">
        <v>0</v>
      </c>
      <c r="U309" s="36">
        <v>0</v>
      </c>
      <c r="X309" s="26" t="s">
        <v>126</v>
      </c>
    </row>
    <row r="310" spans="1:24" x14ac:dyDescent="0.35">
      <c r="A310" s="26" t="s">
        <v>639</v>
      </c>
      <c r="B310" s="32" t="s">
        <v>640</v>
      </c>
      <c r="C310" s="26" t="s">
        <v>640</v>
      </c>
      <c r="D310" s="26" t="s">
        <v>641</v>
      </c>
      <c r="E310" s="26" t="s">
        <v>632</v>
      </c>
      <c r="F310" s="26" t="s">
        <v>30</v>
      </c>
      <c r="G310" s="26" t="s">
        <v>30</v>
      </c>
      <c r="J310" s="26" t="s">
        <v>574</v>
      </c>
      <c r="L310" s="26" t="s">
        <v>40</v>
      </c>
      <c r="N310" s="28">
        <v>45292</v>
      </c>
      <c r="O310" s="28">
        <v>45657</v>
      </c>
      <c r="P310" s="26">
        <v>52</v>
      </c>
      <c r="Q310" s="35" t="s">
        <v>49</v>
      </c>
      <c r="R310" s="29">
        <v>202739450</v>
      </c>
      <c r="S310" s="26"/>
      <c r="T310" s="29">
        <v>0</v>
      </c>
      <c r="U310" s="36">
        <v>0</v>
      </c>
      <c r="X310" s="26" t="s">
        <v>126</v>
      </c>
    </row>
    <row r="311" spans="1:24" x14ac:dyDescent="0.35">
      <c r="A311" s="26" t="s">
        <v>642</v>
      </c>
      <c r="B311" s="32" t="s">
        <v>643</v>
      </c>
      <c r="C311" s="26" t="s">
        <v>643</v>
      </c>
      <c r="D311" s="26" t="s">
        <v>644</v>
      </c>
      <c r="E311" s="26" t="s">
        <v>632</v>
      </c>
      <c r="F311" s="26" t="s">
        <v>30</v>
      </c>
      <c r="G311" s="26" t="s">
        <v>30</v>
      </c>
      <c r="J311" s="26" t="s">
        <v>574</v>
      </c>
      <c r="L311" s="26" t="s">
        <v>40</v>
      </c>
      <c r="N311" s="28">
        <v>45292</v>
      </c>
      <c r="O311" s="28">
        <v>45657</v>
      </c>
      <c r="P311" s="26">
        <v>52</v>
      </c>
      <c r="Q311" s="35" t="s">
        <v>49</v>
      </c>
      <c r="R311" s="29">
        <v>99759915</v>
      </c>
      <c r="S311" s="26"/>
      <c r="T311" s="29">
        <v>0</v>
      </c>
      <c r="U311" s="36">
        <v>0</v>
      </c>
      <c r="X311" s="26" t="s">
        <v>126</v>
      </c>
    </row>
    <row r="312" spans="1:24" x14ac:dyDescent="0.35">
      <c r="A312" s="26" t="s">
        <v>645</v>
      </c>
      <c r="B312" s="32" t="s">
        <v>646</v>
      </c>
      <c r="C312" s="26" t="s">
        <v>646</v>
      </c>
      <c r="D312" s="26" t="s">
        <v>28</v>
      </c>
      <c r="E312" s="26" t="s">
        <v>632</v>
      </c>
      <c r="F312" s="26" t="s">
        <v>30</v>
      </c>
      <c r="G312" s="26" t="s">
        <v>30</v>
      </c>
      <c r="J312" s="26" t="s">
        <v>574</v>
      </c>
      <c r="L312" s="26" t="s">
        <v>91</v>
      </c>
      <c r="N312" s="28">
        <v>45292</v>
      </c>
      <c r="O312" s="28">
        <v>45657</v>
      </c>
      <c r="P312" s="26">
        <v>52</v>
      </c>
      <c r="Q312" s="35" t="s">
        <v>49</v>
      </c>
      <c r="R312" s="29">
        <v>3500000</v>
      </c>
      <c r="S312" s="26"/>
      <c r="T312" s="29">
        <v>0</v>
      </c>
      <c r="U312" s="36">
        <v>0</v>
      </c>
      <c r="X312" s="26" t="s">
        <v>126</v>
      </c>
    </row>
    <row r="313" spans="1:24" x14ac:dyDescent="0.35">
      <c r="A313" s="26" t="s">
        <v>647</v>
      </c>
      <c r="B313" s="32" t="s">
        <v>648</v>
      </c>
      <c r="C313" s="26" t="s">
        <v>648</v>
      </c>
      <c r="D313" s="26" t="s">
        <v>28</v>
      </c>
      <c r="E313" s="26" t="s">
        <v>632</v>
      </c>
      <c r="F313" s="26" t="s">
        <v>30</v>
      </c>
      <c r="G313" s="26" t="s">
        <v>30</v>
      </c>
      <c r="J313" s="26" t="s">
        <v>194</v>
      </c>
      <c r="L313" s="26" t="s">
        <v>32</v>
      </c>
      <c r="N313" s="28">
        <v>45292</v>
      </c>
      <c r="O313" s="28">
        <v>45657</v>
      </c>
      <c r="P313" s="26">
        <v>52</v>
      </c>
      <c r="Q313" s="35" t="s">
        <v>49</v>
      </c>
      <c r="R313" s="29">
        <v>10000000</v>
      </c>
      <c r="S313" s="26"/>
      <c r="T313" s="29">
        <v>0</v>
      </c>
      <c r="U313" s="36">
        <v>0</v>
      </c>
      <c r="X313" s="26" t="s">
        <v>126</v>
      </c>
    </row>
    <row r="314" spans="1:24" x14ac:dyDescent="0.35">
      <c r="A314" s="26" t="s">
        <v>649</v>
      </c>
      <c r="B314" s="32" t="s">
        <v>650</v>
      </c>
      <c r="C314" s="26" t="s">
        <v>650</v>
      </c>
      <c r="D314" s="26" t="s">
        <v>28</v>
      </c>
      <c r="E314" s="26" t="s">
        <v>632</v>
      </c>
      <c r="F314" s="26" t="s">
        <v>30</v>
      </c>
      <c r="G314" s="26" t="s">
        <v>30</v>
      </c>
      <c r="J314" s="26" t="s">
        <v>574</v>
      </c>
      <c r="L314" s="26" t="s">
        <v>40</v>
      </c>
      <c r="N314" s="28">
        <v>45292</v>
      </c>
      <c r="O314" s="28">
        <v>45657</v>
      </c>
      <c r="P314" s="26">
        <v>52</v>
      </c>
      <c r="Q314" s="35" t="s">
        <v>49</v>
      </c>
      <c r="R314" s="29">
        <v>100000000</v>
      </c>
      <c r="S314" s="26"/>
      <c r="T314" s="29">
        <v>0</v>
      </c>
      <c r="U314" s="36">
        <v>0</v>
      </c>
      <c r="X314" s="26" t="s">
        <v>355</v>
      </c>
    </row>
    <row r="315" spans="1:24" x14ac:dyDescent="0.35">
      <c r="A315" s="26" t="s">
        <v>651</v>
      </c>
      <c r="B315" s="32" t="s">
        <v>652</v>
      </c>
      <c r="C315" s="26" t="s">
        <v>652</v>
      </c>
      <c r="D315" s="26" t="s">
        <v>28</v>
      </c>
      <c r="E315" s="26" t="s">
        <v>632</v>
      </c>
      <c r="F315" s="26" t="s">
        <v>30</v>
      </c>
      <c r="G315" s="26" t="s">
        <v>30</v>
      </c>
      <c r="J315" s="26" t="s">
        <v>574</v>
      </c>
      <c r="L315" s="26" t="s">
        <v>32</v>
      </c>
      <c r="N315" s="28">
        <v>45292</v>
      </c>
      <c r="O315" s="28">
        <v>45657</v>
      </c>
      <c r="P315" s="26">
        <v>52</v>
      </c>
      <c r="Q315" s="35" t="s">
        <v>49</v>
      </c>
      <c r="R315" s="29">
        <v>50000000</v>
      </c>
      <c r="S315" s="26"/>
      <c r="T315" s="29">
        <v>0</v>
      </c>
      <c r="U315" s="36">
        <v>0</v>
      </c>
      <c r="X315" s="26" t="s">
        <v>140</v>
      </c>
    </row>
    <row r="316" spans="1:24" x14ac:dyDescent="0.35">
      <c r="A316" s="26" t="s">
        <v>653</v>
      </c>
      <c r="B316" s="32" t="s">
        <v>654</v>
      </c>
      <c r="C316" s="26" t="s">
        <v>654</v>
      </c>
      <c r="D316" s="26" t="s">
        <v>28</v>
      </c>
      <c r="E316" s="26" t="s">
        <v>632</v>
      </c>
      <c r="F316" s="26" t="s">
        <v>30</v>
      </c>
      <c r="G316" s="26" t="s">
        <v>30</v>
      </c>
      <c r="J316" s="26" t="s">
        <v>574</v>
      </c>
      <c r="L316" s="26" t="s">
        <v>32</v>
      </c>
      <c r="N316" s="28">
        <v>45292</v>
      </c>
      <c r="O316" s="28">
        <v>45657</v>
      </c>
      <c r="P316" s="26">
        <v>52</v>
      </c>
      <c r="Q316" s="35" t="s">
        <v>49</v>
      </c>
      <c r="R316" s="29">
        <v>50000000</v>
      </c>
      <c r="S316" s="26"/>
      <c r="T316" s="29">
        <v>0</v>
      </c>
      <c r="U316" s="36">
        <v>0</v>
      </c>
      <c r="X316" s="26" t="s">
        <v>195</v>
      </c>
    </row>
    <row r="317" spans="1:24" x14ac:dyDescent="0.35">
      <c r="A317" s="26" t="s">
        <v>655</v>
      </c>
      <c r="B317" s="32" t="s">
        <v>656</v>
      </c>
      <c r="C317" s="26" t="s">
        <v>656</v>
      </c>
      <c r="D317" s="26" t="s">
        <v>28</v>
      </c>
      <c r="E317" s="26" t="s">
        <v>632</v>
      </c>
      <c r="F317" s="26" t="s">
        <v>30</v>
      </c>
      <c r="G317" s="26" t="s">
        <v>30</v>
      </c>
      <c r="J317" s="26" t="s">
        <v>31</v>
      </c>
      <c r="L317" s="26" t="s">
        <v>32</v>
      </c>
      <c r="N317" s="28">
        <v>45292</v>
      </c>
      <c r="O317" s="28">
        <v>45657</v>
      </c>
      <c r="P317" s="26">
        <v>52</v>
      </c>
      <c r="Q317" s="35" t="s">
        <v>49</v>
      </c>
      <c r="R317" s="29">
        <v>50000000</v>
      </c>
      <c r="S317" s="26"/>
      <c r="T317" s="29">
        <v>0</v>
      </c>
      <c r="U317" s="36">
        <v>0</v>
      </c>
      <c r="X317" s="26" t="s">
        <v>657</v>
      </c>
    </row>
    <row r="318" spans="1:24" x14ac:dyDescent="0.35">
      <c r="A318" s="26" t="s">
        <v>658</v>
      </c>
      <c r="B318" s="32" t="s">
        <v>659</v>
      </c>
      <c r="C318" s="26" t="s">
        <v>659</v>
      </c>
      <c r="D318" s="26" t="s">
        <v>28</v>
      </c>
      <c r="E318" s="26" t="s">
        <v>632</v>
      </c>
      <c r="F318" s="26" t="s">
        <v>30</v>
      </c>
      <c r="G318" s="26" t="s">
        <v>30</v>
      </c>
      <c r="J318" s="26" t="s">
        <v>32</v>
      </c>
      <c r="L318" s="26" t="s">
        <v>660</v>
      </c>
      <c r="N318" s="28">
        <v>45292</v>
      </c>
      <c r="O318" s="28">
        <v>45657</v>
      </c>
      <c r="P318" s="26">
        <v>52</v>
      </c>
      <c r="Q318" s="35" t="s">
        <v>49</v>
      </c>
      <c r="R318" s="29">
        <v>100000000</v>
      </c>
      <c r="S318" s="26"/>
      <c r="T318" s="29">
        <v>0</v>
      </c>
      <c r="U318" s="36">
        <v>0</v>
      </c>
      <c r="X318" s="26" t="s">
        <v>657</v>
      </c>
    </row>
    <row r="319" spans="1:24" x14ac:dyDescent="0.35">
      <c r="A319" s="26" t="s">
        <v>661</v>
      </c>
      <c r="B319" s="32" t="s">
        <v>662</v>
      </c>
      <c r="C319" s="26" t="s">
        <v>662</v>
      </c>
      <c r="D319" s="26" t="s">
        <v>28</v>
      </c>
      <c r="E319" s="26" t="s">
        <v>632</v>
      </c>
      <c r="F319" s="26" t="s">
        <v>30</v>
      </c>
      <c r="G319" s="26" t="s">
        <v>30</v>
      </c>
      <c r="J319" s="26" t="s">
        <v>113</v>
      </c>
      <c r="L319" s="26" t="s">
        <v>53</v>
      </c>
      <c r="N319" s="28">
        <v>45292</v>
      </c>
      <c r="O319" s="28">
        <v>45657</v>
      </c>
      <c r="P319" s="26">
        <v>52</v>
      </c>
      <c r="Q319" s="35" t="s">
        <v>49</v>
      </c>
      <c r="R319" s="29">
        <v>60000000</v>
      </c>
      <c r="S319" s="26"/>
      <c r="T319" s="29">
        <v>0</v>
      </c>
      <c r="U319" s="36">
        <v>0</v>
      </c>
      <c r="X319" s="26" t="s">
        <v>663</v>
      </c>
    </row>
    <row r="320" spans="1:24" x14ac:dyDescent="0.35">
      <c r="A320" s="26" t="s">
        <v>664</v>
      </c>
      <c r="B320" s="32" t="s">
        <v>665</v>
      </c>
      <c r="C320" s="26" t="s">
        <v>665</v>
      </c>
      <c r="D320" s="26" t="s">
        <v>28</v>
      </c>
      <c r="E320" s="26" t="s">
        <v>632</v>
      </c>
      <c r="F320" s="26" t="s">
        <v>30</v>
      </c>
      <c r="G320" s="26" t="s">
        <v>30</v>
      </c>
      <c r="J320" s="26" t="s">
        <v>194</v>
      </c>
      <c r="L320" s="26" t="s">
        <v>199</v>
      </c>
      <c r="N320" s="28">
        <v>45292</v>
      </c>
      <c r="O320" s="28">
        <v>45657</v>
      </c>
      <c r="P320" s="26">
        <v>52</v>
      </c>
      <c r="Q320" s="35" t="s">
        <v>49</v>
      </c>
      <c r="R320" s="29">
        <v>30000000</v>
      </c>
      <c r="S320" s="26"/>
      <c r="T320" s="29">
        <v>0</v>
      </c>
      <c r="U320" s="36">
        <v>0</v>
      </c>
      <c r="X320" s="26" t="s">
        <v>355</v>
      </c>
    </row>
    <row r="321" spans="1:24" x14ac:dyDescent="0.35">
      <c r="A321" s="26" t="s">
        <v>666</v>
      </c>
      <c r="B321" s="32" t="s">
        <v>667</v>
      </c>
      <c r="C321" s="26" t="s">
        <v>667</v>
      </c>
      <c r="D321" s="26" t="s">
        <v>28</v>
      </c>
      <c r="E321" s="26" t="s">
        <v>632</v>
      </c>
      <c r="F321" s="26" t="s">
        <v>30</v>
      </c>
      <c r="G321" s="26" t="s">
        <v>30</v>
      </c>
      <c r="J321" s="26" t="s">
        <v>574</v>
      </c>
      <c r="L321" s="26" t="s">
        <v>660</v>
      </c>
      <c r="N321" s="28">
        <v>45292</v>
      </c>
      <c r="O321" s="28">
        <v>45657</v>
      </c>
      <c r="P321" s="26">
        <v>52</v>
      </c>
      <c r="Q321" s="35" t="s">
        <v>49</v>
      </c>
      <c r="R321" s="29">
        <v>5000000</v>
      </c>
      <c r="S321" s="26"/>
      <c r="T321" s="29">
        <v>0</v>
      </c>
      <c r="U321" s="36">
        <v>0</v>
      </c>
      <c r="X321" s="26" t="s">
        <v>324</v>
      </c>
    </row>
    <row r="322" spans="1:24" x14ac:dyDescent="0.35">
      <c r="A322" s="26" t="s">
        <v>668</v>
      </c>
      <c r="B322" s="32" t="s">
        <v>669</v>
      </c>
      <c r="C322" s="26" t="s">
        <v>669</v>
      </c>
      <c r="D322" s="26" t="s">
        <v>28</v>
      </c>
      <c r="E322" s="26" t="s">
        <v>632</v>
      </c>
      <c r="F322" s="26" t="s">
        <v>30</v>
      </c>
      <c r="G322" s="26" t="s">
        <v>30</v>
      </c>
      <c r="J322" s="26" t="s">
        <v>574</v>
      </c>
      <c r="L322" s="26" t="s">
        <v>32</v>
      </c>
      <c r="N322" s="28">
        <v>45292</v>
      </c>
      <c r="O322" s="28">
        <v>45657</v>
      </c>
      <c r="P322" s="26">
        <v>52</v>
      </c>
      <c r="Q322" s="35" t="s">
        <v>49</v>
      </c>
      <c r="R322" s="29">
        <v>300000000</v>
      </c>
      <c r="S322" s="26"/>
      <c r="T322" s="29">
        <v>0</v>
      </c>
      <c r="U322" s="36">
        <v>0</v>
      </c>
      <c r="X322" s="26" t="s">
        <v>67</v>
      </c>
    </row>
    <row r="323" spans="1:24" x14ac:dyDescent="0.35">
      <c r="A323" s="26" t="s">
        <v>670</v>
      </c>
      <c r="B323" s="32" t="s">
        <v>671</v>
      </c>
      <c r="C323" s="26" t="s">
        <v>671</v>
      </c>
      <c r="D323" s="26" t="s">
        <v>28</v>
      </c>
      <c r="E323" s="26" t="s">
        <v>632</v>
      </c>
      <c r="F323" s="26" t="s">
        <v>30</v>
      </c>
      <c r="G323" s="26" t="s">
        <v>30</v>
      </c>
      <c r="J323" s="26" t="s">
        <v>574</v>
      </c>
      <c r="L323" s="26" t="s">
        <v>438</v>
      </c>
      <c r="N323" s="28">
        <v>45292</v>
      </c>
      <c r="O323" s="28">
        <v>45657</v>
      </c>
      <c r="P323" s="26">
        <v>52</v>
      </c>
      <c r="Q323" s="35" t="s">
        <v>49</v>
      </c>
      <c r="R323" s="29">
        <v>25000000</v>
      </c>
      <c r="S323" s="26"/>
      <c r="T323" s="29">
        <v>0</v>
      </c>
      <c r="U323" s="36">
        <v>0</v>
      </c>
      <c r="X323" s="26" t="s">
        <v>140</v>
      </c>
    </row>
    <row r="324" spans="1:24" x14ac:dyDescent="0.35">
      <c r="A324" s="26" t="s">
        <v>672</v>
      </c>
      <c r="B324" s="32" t="s">
        <v>673</v>
      </c>
      <c r="C324" s="26" t="s">
        <v>673</v>
      </c>
      <c r="D324" s="26" t="s">
        <v>28</v>
      </c>
      <c r="E324" s="26" t="s">
        <v>632</v>
      </c>
      <c r="F324" s="26" t="s">
        <v>30</v>
      </c>
      <c r="G324" s="26" t="s">
        <v>30</v>
      </c>
      <c r="J324" s="26" t="s">
        <v>574</v>
      </c>
      <c r="L324" s="26" t="s">
        <v>438</v>
      </c>
      <c r="N324" s="28">
        <v>45292</v>
      </c>
      <c r="O324" s="28">
        <v>45657</v>
      </c>
      <c r="P324" s="26">
        <v>52</v>
      </c>
      <c r="Q324" s="35" t="s">
        <v>49</v>
      </c>
      <c r="R324" s="29">
        <v>600000000</v>
      </c>
      <c r="S324" s="26"/>
      <c r="T324" s="29">
        <v>0</v>
      </c>
      <c r="U324" s="36">
        <v>0</v>
      </c>
      <c r="X324" s="26" t="s">
        <v>140</v>
      </c>
    </row>
    <row r="325" spans="1:24" x14ac:dyDescent="0.35">
      <c r="A325" s="26" t="s">
        <v>674</v>
      </c>
      <c r="B325" s="32" t="s">
        <v>675</v>
      </c>
      <c r="C325" s="26" t="s">
        <v>675</v>
      </c>
      <c r="D325" s="26" t="s">
        <v>28</v>
      </c>
      <c r="E325" s="26" t="s">
        <v>632</v>
      </c>
      <c r="F325" s="26" t="s">
        <v>30</v>
      </c>
      <c r="G325" s="26" t="s">
        <v>30</v>
      </c>
      <c r="J325" s="26" t="s">
        <v>574</v>
      </c>
      <c r="L325" s="26" t="s">
        <v>438</v>
      </c>
      <c r="N325" s="28">
        <v>45292</v>
      </c>
      <c r="O325" s="28">
        <v>45657</v>
      </c>
      <c r="P325" s="26">
        <v>52</v>
      </c>
      <c r="Q325" s="35" t="s">
        <v>49</v>
      </c>
      <c r="R325" s="29">
        <v>100000000</v>
      </c>
      <c r="S325" s="26"/>
      <c r="T325" s="29">
        <v>0</v>
      </c>
      <c r="U325" s="36">
        <v>0</v>
      </c>
      <c r="X325" s="26" t="s">
        <v>140</v>
      </c>
    </row>
    <row r="326" spans="1:24" x14ac:dyDescent="0.35">
      <c r="A326" s="26" t="s">
        <v>676</v>
      </c>
      <c r="B326" s="32" t="s">
        <v>677</v>
      </c>
      <c r="C326" s="26" t="s">
        <v>677</v>
      </c>
      <c r="D326" s="26" t="s">
        <v>28</v>
      </c>
      <c r="E326" s="26" t="s">
        <v>632</v>
      </c>
      <c r="F326" s="26" t="s">
        <v>30</v>
      </c>
      <c r="G326" s="26" t="s">
        <v>30</v>
      </c>
      <c r="J326" s="26" t="s">
        <v>574</v>
      </c>
      <c r="L326" s="26" t="s">
        <v>438</v>
      </c>
      <c r="N326" s="28">
        <v>45292</v>
      </c>
      <c r="O326" s="28">
        <v>45657</v>
      </c>
      <c r="P326" s="26">
        <v>52</v>
      </c>
      <c r="Q326" s="35" t="s">
        <v>49</v>
      </c>
      <c r="R326" s="29">
        <v>3050989118.2199998</v>
      </c>
      <c r="S326" s="26"/>
      <c r="T326" s="50">
        <v>0</v>
      </c>
      <c r="U326" s="36">
        <v>0</v>
      </c>
      <c r="X326" s="26" t="s">
        <v>140</v>
      </c>
    </row>
    <row r="327" spans="1:24" x14ac:dyDescent="0.35">
      <c r="A327" s="26" t="s">
        <v>678</v>
      </c>
      <c r="B327" s="32" t="s">
        <v>679</v>
      </c>
      <c r="C327" s="26" t="s">
        <v>679</v>
      </c>
      <c r="D327" s="26" t="s">
        <v>28</v>
      </c>
      <c r="E327" s="26" t="s">
        <v>632</v>
      </c>
      <c r="F327" s="26" t="s">
        <v>30</v>
      </c>
      <c r="G327" s="26" t="s">
        <v>30</v>
      </c>
      <c r="J327" s="26" t="s">
        <v>574</v>
      </c>
      <c r="L327" s="26" t="s">
        <v>438</v>
      </c>
      <c r="N327" s="28">
        <v>45292</v>
      </c>
      <c r="O327" s="28" t="s">
        <v>680</v>
      </c>
      <c r="P327" s="26">
        <v>52</v>
      </c>
      <c r="Q327" s="35" t="s">
        <v>49</v>
      </c>
      <c r="R327" s="29">
        <v>20000000</v>
      </c>
      <c r="S327" s="26"/>
      <c r="T327" s="29">
        <v>0</v>
      </c>
      <c r="U327" s="36">
        <v>0</v>
      </c>
      <c r="X327" s="26" t="s">
        <v>140</v>
      </c>
    </row>
    <row r="328" spans="1:24" x14ac:dyDescent="0.35">
      <c r="A328" s="26" t="s">
        <v>1902</v>
      </c>
      <c r="B328" s="32" t="s">
        <v>1903</v>
      </c>
      <c r="C328" s="26" t="s">
        <v>1904</v>
      </c>
      <c r="D328" s="26" t="s">
        <v>117</v>
      </c>
      <c r="E328" s="26" t="s">
        <v>632</v>
      </c>
      <c r="F328" s="26" t="s">
        <v>30</v>
      </c>
      <c r="G328" s="26" t="s">
        <v>30</v>
      </c>
      <c r="J328" s="26" t="s">
        <v>426</v>
      </c>
      <c r="L328" s="26" t="s">
        <v>438</v>
      </c>
      <c r="N328" s="28">
        <v>45292</v>
      </c>
      <c r="O328" s="28" t="s">
        <v>680</v>
      </c>
      <c r="P328" s="26">
        <v>16</v>
      </c>
      <c r="Q328" s="35" t="s">
        <v>211</v>
      </c>
      <c r="R328" s="29">
        <v>11598804949.110001</v>
      </c>
      <c r="S328" s="26"/>
      <c r="T328" s="29">
        <v>11598804949.110001</v>
      </c>
      <c r="U328" s="36">
        <v>1</v>
      </c>
      <c r="X328" s="26" t="s">
        <v>140</v>
      </c>
    </row>
    <row r="329" spans="1:24" x14ac:dyDescent="0.35">
      <c r="A329" s="26" t="s">
        <v>1905</v>
      </c>
      <c r="B329" s="32" t="s">
        <v>1906</v>
      </c>
      <c r="C329" s="26" t="s">
        <v>1907</v>
      </c>
      <c r="D329" s="26" t="s">
        <v>117</v>
      </c>
      <c r="E329" s="26" t="s">
        <v>632</v>
      </c>
      <c r="F329" s="26" t="s">
        <v>30</v>
      </c>
      <c r="G329" s="26" t="s">
        <v>30</v>
      </c>
      <c r="J329" s="26" t="s">
        <v>574</v>
      </c>
      <c r="L329" s="26" t="s">
        <v>32</v>
      </c>
      <c r="N329" s="28">
        <v>45292</v>
      </c>
      <c r="O329" s="28" t="s">
        <v>680</v>
      </c>
      <c r="P329" s="26">
        <v>16</v>
      </c>
      <c r="Q329" s="35" t="s">
        <v>211</v>
      </c>
      <c r="R329" s="29">
        <v>61080000</v>
      </c>
      <c r="S329" s="26"/>
      <c r="T329" s="29">
        <v>61080000</v>
      </c>
      <c r="U329" s="36">
        <v>1</v>
      </c>
      <c r="X329" s="26" t="s">
        <v>140</v>
      </c>
    </row>
    <row r="330" spans="1:24" x14ac:dyDescent="0.35">
      <c r="A330" s="26" t="s">
        <v>1908</v>
      </c>
      <c r="B330" s="32" t="s">
        <v>1909</v>
      </c>
      <c r="C330" s="26" t="s">
        <v>1910</v>
      </c>
      <c r="D330" s="26" t="s">
        <v>117</v>
      </c>
      <c r="E330" s="26" t="s">
        <v>632</v>
      </c>
      <c r="F330" s="26" t="s">
        <v>30</v>
      </c>
      <c r="G330" s="26" t="s">
        <v>30</v>
      </c>
      <c r="J330" s="26" t="s">
        <v>574</v>
      </c>
      <c r="L330" s="26" t="s">
        <v>438</v>
      </c>
      <c r="N330" s="28">
        <v>44967</v>
      </c>
      <c r="O330" s="28" t="s">
        <v>1722</v>
      </c>
      <c r="P330" s="26">
        <v>12</v>
      </c>
      <c r="Q330" s="35" t="s">
        <v>211</v>
      </c>
      <c r="R330" s="29"/>
      <c r="S330" s="26"/>
      <c r="T330" s="29"/>
      <c r="U330" s="36">
        <v>1</v>
      </c>
      <c r="X330" s="26" t="s">
        <v>140</v>
      </c>
    </row>
    <row r="331" spans="1:24" x14ac:dyDescent="0.35">
      <c r="A331" s="26" t="s">
        <v>1911</v>
      </c>
      <c r="B331" s="32" t="s">
        <v>1912</v>
      </c>
      <c r="C331" s="26" t="s">
        <v>1913</v>
      </c>
      <c r="D331" s="26" t="s">
        <v>117</v>
      </c>
      <c r="E331" s="26" t="s">
        <v>632</v>
      </c>
      <c r="F331" s="26" t="s">
        <v>30</v>
      </c>
      <c r="G331" s="26" t="s">
        <v>30</v>
      </c>
      <c r="J331" s="26" t="s">
        <v>426</v>
      </c>
      <c r="L331" s="26" t="s">
        <v>438</v>
      </c>
      <c r="N331" s="28">
        <v>45292</v>
      </c>
      <c r="O331" s="28" t="s">
        <v>680</v>
      </c>
      <c r="P331" s="26">
        <v>16</v>
      </c>
      <c r="Q331" s="35" t="s">
        <v>211</v>
      </c>
      <c r="R331" s="29">
        <v>3000000000</v>
      </c>
      <c r="S331" s="26"/>
      <c r="T331" s="29">
        <v>3000000000</v>
      </c>
      <c r="U331" s="36">
        <v>1</v>
      </c>
      <c r="X331" s="26" t="s">
        <v>140</v>
      </c>
    </row>
    <row r="332" spans="1:24" x14ac:dyDescent="0.35">
      <c r="A332" s="26" t="s">
        <v>1914</v>
      </c>
      <c r="B332" s="32" t="s">
        <v>1915</v>
      </c>
      <c r="C332" s="26" t="s">
        <v>1916</v>
      </c>
      <c r="D332" s="26" t="s">
        <v>909</v>
      </c>
      <c r="E332" s="26" t="s">
        <v>632</v>
      </c>
      <c r="F332" s="26" t="s">
        <v>30</v>
      </c>
      <c r="G332" s="26" t="s">
        <v>30</v>
      </c>
      <c r="J332" s="26" t="s">
        <v>426</v>
      </c>
      <c r="L332" s="26" t="s">
        <v>438</v>
      </c>
      <c r="N332" s="28">
        <v>45292</v>
      </c>
      <c r="O332" s="28" t="s">
        <v>680</v>
      </c>
      <c r="P332" s="26">
        <v>16</v>
      </c>
      <c r="Q332" s="35" t="s">
        <v>211</v>
      </c>
      <c r="R332" s="29">
        <v>632754500</v>
      </c>
      <c r="S332" s="26"/>
      <c r="T332" s="29">
        <v>632754500</v>
      </c>
      <c r="U332" s="36">
        <v>1</v>
      </c>
      <c r="X332" s="26" t="s">
        <v>140</v>
      </c>
    </row>
    <row r="333" spans="1:24" x14ac:dyDescent="0.35">
      <c r="A333" s="26" t="s">
        <v>1917</v>
      </c>
      <c r="B333" s="26" t="s">
        <v>1918</v>
      </c>
      <c r="C333" s="26" t="s">
        <v>1919</v>
      </c>
      <c r="D333" s="26" t="s">
        <v>117</v>
      </c>
      <c r="E333" s="26" t="s">
        <v>632</v>
      </c>
      <c r="F333" s="26" t="s">
        <v>30</v>
      </c>
      <c r="G333" s="26" t="s">
        <v>30</v>
      </c>
      <c r="J333" s="26" t="s">
        <v>426</v>
      </c>
      <c r="L333" s="26" t="s">
        <v>438</v>
      </c>
      <c r="N333" s="69">
        <v>44967</v>
      </c>
      <c r="O333" s="35" t="s">
        <v>1722</v>
      </c>
      <c r="P333" s="26">
        <v>12</v>
      </c>
      <c r="Q333" s="35" t="s">
        <v>211</v>
      </c>
      <c r="R333" s="67">
        <v>1000000000</v>
      </c>
      <c r="S333" s="26"/>
      <c r="T333" s="67">
        <v>1000000000</v>
      </c>
      <c r="U333" s="68">
        <v>1</v>
      </c>
      <c r="X333" s="26" t="s">
        <v>140</v>
      </c>
    </row>
    <row r="334" spans="1:24" x14ac:dyDescent="0.35">
      <c r="A334" s="26" t="s">
        <v>1920</v>
      </c>
      <c r="B334" s="32" t="s">
        <v>1921</v>
      </c>
      <c r="C334" s="26" t="s">
        <v>1922</v>
      </c>
      <c r="D334" s="26" t="s">
        <v>117</v>
      </c>
      <c r="E334" s="26" t="s">
        <v>632</v>
      </c>
      <c r="F334" s="26" t="s">
        <v>30</v>
      </c>
      <c r="G334" s="26" t="s">
        <v>30</v>
      </c>
      <c r="J334" s="26" t="s">
        <v>574</v>
      </c>
      <c r="L334" s="26" t="s">
        <v>438</v>
      </c>
      <c r="N334" s="28">
        <v>44967</v>
      </c>
      <c r="O334" s="28" t="s">
        <v>1722</v>
      </c>
      <c r="P334" s="26">
        <v>12</v>
      </c>
      <c r="Q334" s="35" t="s">
        <v>211</v>
      </c>
      <c r="R334" s="29">
        <v>1092212898.22</v>
      </c>
      <c r="S334" s="26"/>
      <c r="T334" s="29">
        <v>1092212898.22</v>
      </c>
      <c r="U334" s="36">
        <v>1</v>
      </c>
      <c r="X334" s="26" t="s">
        <v>140</v>
      </c>
    </row>
    <row r="335" spans="1:24" x14ac:dyDescent="0.35">
      <c r="A335" s="26" t="s">
        <v>1923</v>
      </c>
      <c r="B335" s="32" t="s">
        <v>1924</v>
      </c>
      <c r="C335" s="26" t="s">
        <v>1925</v>
      </c>
      <c r="D335" s="26" t="s">
        <v>117</v>
      </c>
      <c r="E335" s="26" t="s">
        <v>632</v>
      </c>
      <c r="F335" s="26" t="s">
        <v>30</v>
      </c>
      <c r="G335" s="26" t="s">
        <v>30</v>
      </c>
      <c r="J335" s="26" t="s">
        <v>574</v>
      </c>
      <c r="L335" s="26" t="s">
        <v>438</v>
      </c>
      <c r="N335" s="28">
        <v>44967</v>
      </c>
      <c r="O335" s="28" t="s">
        <v>1722</v>
      </c>
      <c r="P335" s="26">
        <v>12</v>
      </c>
      <c r="Q335" s="35" t="s">
        <v>211</v>
      </c>
      <c r="R335" s="29"/>
      <c r="S335" s="26"/>
      <c r="T335" s="29"/>
      <c r="U335" s="36">
        <v>1</v>
      </c>
      <c r="X335" s="26" t="s">
        <v>140</v>
      </c>
    </row>
    <row r="336" spans="1:24" x14ac:dyDescent="0.35">
      <c r="A336" s="26" t="s">
        <v>2591</v>
      </c>
      <c r="B336" s="32" t="s">
        <v>2588</v>
      </c>
      <c r="C336" s="26" t="s">
        <v>2589</v>
      </c>
      <c r="D336" s="26" t="s">
        <v>28</v>
      </c>
      <c r="E336" s="26" t="s">
        <v>632</v>
      </c>
      <c r="F336" s="26" t="s">
        <v>30</v>
      </c>
      <c r="G336" s="26" t="s">
        <v>30</v>
      </c>
      <c r="J336" s="26" t="s">
        <v>574</v>
      </c>
      <c r="L336" s="26" t="s">
        <v>438</v>
      </c>
      <c r="N336" s="28">
        <v>46023</v>
      </c>
      <c r="O336" s="28" t="s">
        <v>45</v>
      </c>
      <c r="P336" s="26">
        <v>54</v>
      </c>
      <c r="Q336" s="35" t="s">
        <v>211</v>
      </c>
      <c r="R336" s="29">
        <v>5150000000</v>
      </c>
      <c r="S336" s="33"/>
      <c r="T336" s="29">
        <v>434824500</v>
      </c>
      <c r="U336" s="36">
        <v>1</v>
      </c>
      <c r="X336" s="26" t="s">
        <v>126</v>
      </c>
    </row>
    <row r="337" spans="1:24" x14ac:dyDescent="0.35">
      <c r="A337" s="26" t="s">
        <v>2592</v>
      </c>
      <c r="B337" s="32" t="s">
        <v>2590</v>
      </c>
      <c r="C337" s="26" t="s">
        <v>2589</v>
      </c>
      <c r="D337" s="26" t="s">
        <v>28</v>
      </c>
      <c r="E337" s="26" t="s">
        <v>632</v>
      </c>
      <c r="F337" s="26" t="s">
        <v>30</v>
      </c>
      <c r="G337" s="26" t="s">
        <v>30</v>
      </c>
      <c r="J337" s="26" t="s">
        <v>574</v>
      </c>
      <c r="L337" s="26" t="s">
        <v>438</v>
      </c>
      <c r="N337" s="28">
        <v>46023</v>
      </c>
      <c r="O337" s="28" t="s">
        <v>45</v>
      </c>
      <c r="P337" s="26">
        <v>54</v>
      </c>
      <c r="Q337" s="35" t="s">
        <v>211</v>
      </c>
      <c r="R337" s="29">
        <v>5150000000</v>
      </c>
      <c r="S337" s="33"/>
      <c r="T337" s="29">
        <v>205524950</v>
      </c>
      <c r="U337" s="36">
        <v>1</v>
      </c>
      <c r="X337" s="26" t="s">
        <v>126</v>
      </c>
    </row>
    <row r="338" spans="1:24" x14ac:dyDescent="0.35">
      <c r="A338" s="26" t="s">
        <v>849</v>
      </c>
      <c r="B338" s="32" t="s">
        <v>850</v>
      </c>
      <c r="C338" s="26" t="s">
        <v>851</v>
      </c>
      <c r="D338" s="26" t="s">
        <v>852</v>
      </c>
      <c r="E338" s="26" t="s">
        <v>354</v>
      </c>
      <c r="F338" s="26" t="s">
        <v>30</v>
      </c>
      <c r="G338" s="26" t="s">
        <v>30</v>
      </c>
      <c r="J338" s="26" t="s">
        <v>426</v>
      </c>
      <c r="L338" s="26" t="s">
        <v>199</v>
      </c>
      <c r="O338" s="28">
        <v>45544</v>
      </c>
      <c r="P338" s="26">
        <v>1</v>
      </c>
      <c r="Q338" s="35" t="s">
        <v>49</v>
      </c>
      <c r="R338" s="29">
        <v>43373450</v>
      </c>
      <c r="S338" s="26"/>
      <c r="T338" s="29">
        <v>0</v>
      </c>
      <c r="U338" s="36">
        <v>0</v>
      </c>
      <c r="X338" s="26" t="s">
        <v>698</v>
      </c>
    </row>
    <row r="339" spans="1:24" x14ac:dyDescent="0.35">
      <c r="A339" s="26" t="s">
        <v>2525</v>
      </c>
      <c r="B339" s="32" t="s">
        <v>2596</v>
      </c>
      <c r="C339" s="26" t="s">
        <v>2513</v>
      </c>
      <c r="D339" s="26" t="s">
        <v>800</v>
      </c>
      <c r="E339" s="26" t="s">
        <v>354</v>
      </c>
      <c r="F339" s="26" t="s">
        <v>30</v>
      </c>
      <c r="G339" s="26" t="s">
        <v>30</v>
      </c>
      <c r="J339" s="26" t="s">
        <v>31</v>
      </c>
      <c r="L339" s="26" t="s">
        <v>32</v>
      </c>
      <c r="N339" s="28">
        <v>46299</v>
      </c>
      <c r="O339" s="28" t="s">
        <v>2514</v>
      </c>
      <c r="P339" s="26">
        <v>1</v>
      </c>
      <c r="Q339" s="35" t="s">
        <v>211</v>
      </c>
      <c r="R339" s="53">
        <v>250000000</v>
      </c>
      <c r="S339" s="26"/>
      <c r="T339" s="29">
        <v>250000000</v>
      </c>
      <c r="U339" s="36">
        <v>1</v>
      </c>
      <c r="X339" s="26" t="s">
        <v>989</v>
      </c>
    </row>
    <row r="340" spans="1:24" x14ac:dyDescent="0.35">
      <c r="A340" s="26" t="s">
        <v>853</v>
      </c>
      <c r="B340" s="32" t="s">
        <v>854</v>
      </c>
      <c r="C340" s="26" t="s">
        <v>855</v>
      </c>
      <c r="D340" s="26" t="s">
        <v>800</v>
      </c>
      <c r="E340" s="26" t="s">
        <v>354</v>
      </c>
      <c r="F340" s="26" t="s">
        <v>30</v>
      </c>
      <c r="G340" s="26" t="s">
        <v>30</v>
      </c>
      <c r="J340" s="26" t="s">
        <v>31</v>
      </c>
      <c r="L340" s="26" t="s">
        <v>78</v>
      </c>
      <c r="N340" s="28" t="s">
        <v>856</v>
      </c>
      <c r="O340" s="28" t="s">
        <v>857</v>
      </c>
      <c r="P340" s="26">
        <v>1</v>
      </c>
      <c r="Q340" s="35" t="s">
        <v>211</v>
      </c>
      <c r="R340" s="29">
        <v>250000000</v>
      </c>
      <c r="S340" s="26"/>
      <c r="T340" s="29">
        <v>250000000</v>
      </c>
      <c r="U340" s="36">
        <v>1</v>
      </c>
      <c r="X340" s="26" t="s">
        <v>698</v>
      </c>
    </row>
    <row r="341" spans="1:24" x14ac:dyDescent="0.35">
      <c r="A341" s="26" t="s">
        <v>858</v>
      </c>
      <c r="B341" s="32" t="s">
        <v>859</v>
      </c>
      <c r="C341" s="26" t="s">
        <v>860</v>
      </c>
      <c r="D341" s="26" t="s">
        <v>852</v>
      </c>
      <c r="E341" s="26" t="s">
        <v>354</v>
      </c>
      <c r="F341" s="26" t="s">
        <v>30</v>
      </c>
      <c r="G341" s="26" t="s">
        <v>30</v>
      </c>
      <c r="J341" s="26" t="s">
        <v>113</v>
      </c>
      <c r="L341" s="26" t="s">
        <v>660</v>
      </c>
      <c r="P341" s="26">
        <v>1</v>
      </c>
      <c r="Q341" s="35" t="s">
        <v>49</v>
      </c>
      <c r="R341" s="29">
        <v>72977875</v>
      </c>
      <c r="S341" s="26"/>
      <c r="T341" s="29">
        <v>0</v>
      </c>
      <c r="U341" s="36">
        <v>0</v>
      </c>
      <c r="X341" s="26" t="s">
        <v>698</v>
      </c>
    </row>
    <row r="342" spans="1:24" x14ac:dyDescent="0.35">
      <c r="A342" s="26" t="s">
        <v>861</v>
      </c>
      <c r="B342" s="32" t="s">
        <v>862</v>
      </c>
      <c r="C342" s="26" t="s">
        <v>863</v>
      </c>
      <c r="D342" s="26" t="s">
        <v>852</v>
      </c>
      <c r="E342" s="26" t="s">
        <v>354</v>
      </c>
      <c r="F342" s="26" t="s">
        <v>30</v>
      </c>
      <c r="G342" s="26" t="s">
        <v>30</v>
      </c>
      <c r="J342" s="26" t="s">
        <v>426</v>
      </c>
      <c r="L342" s="26" t="s">
        <v>199</v>
      </c>
      <c r="N342" s="28">
        <v>45268</v>
      </c>
      <c r="O342" s="28">
        <v>45274</v>
      </c>
      <c r="P342" s="26">
        <v>1</v>
      </c>
      <c r="Q342" s="35" t="s">
        <v>49</v>
      </c>
      <c r="R342" s="29">
        <v>30382300</v>
      </c>
      <c r="S342" s="26"/>
      <c r="T342" s="29">
        <v>0</v>
      </c>
      <c r="U342" s="36">
        <v>0</v>
      </c>
      <c r="X342" s="26" t="s">
        <v>698</v>
      </c>
    </row>
    <row r="343" spans="1:24" x14ac:dyDescent="0.35">
      <c r="A343" s="26" t="s">
        <v>2526</v>
      </c>
      <c r="B343" s="32" t="s">
        <v>2515</v>
      </c>
      <c r="C343" s="26" t="s">
        <v>2516</v>
      </c>
      <c r="D343" s="26" t="s">
        <v>580</v>
      </c>
      <c r="E343" s="26" t="s">
        <v>354</v>
      </c>
      <c r="F343" s="26" t="s">
        <v>30</v>
      </c>
      <c r="G343" s="26" t="s">
        <v>30</v>
      </c>
      <c r="J343" s="26" t="s">
        <v>31</v>
      </c>
      <c r="L343" s="26" t="s">
        <v>32</v>
      </c>
      <c r="N343" s="28">
        <v>45663</v>
      </c>
      <c r="O343" s="28" t="s">
        <v>83</v>
      </c>
      <c r="P343" s="26">
        <v>540</v>
      </c>
      <c r="Q343" s="35" t="s">
        <v>34</v>
      </c>
      <c r="R343" s="53">
        <v>6800000000</v>
      </c>
      <c r="S343" s="26"/>
      <c r="T343" s="53">
        <v>300000000</v>
      </c>
      <c r="U343" s="36">
        <f>T343/R343</f>
        <v>4.4117647058823532E-2</v>
      </c>
      <c r="X343" s="26" t="s">
        <v>989</v>
      </c>
    </row>
    <row r="344" spans="1:24" x14ac:dyDescent="0.35">
      <c r="A344" s="26" t="s">
        <v>2527</v>
      </c>
      <c r="B344" s="32" t="s">
        <v>2609</v>
      </c>
      <c r="C344" s="26" t="s">
        <v>2517</v>
      </c>
      <c r="D344" s="26" t="s">
        <v>909</v>
      </c>
      <c r="E344" s="26" t="s">
        <v>354</v>
      </c>
      <c r="F344" s="26" t="s">
        <v>30</v>
      </c>
      <c r="G344" s="26" t="s">
        <v>30</v>
      </c>
      <c r="J344" s="26" t="s">
        <v>31</v>
      </c>
      <c r="L344" s="26" t="s">
        <v>32</v>
      </c>
      <c r="N344" s="28" t="s">
        <v>2519</v>
      </c>
      <c r="O344" s="28" t="s">
        <v>2518</v>
      </c>
      <c r="P344" s="26">
        <v>7</v>
      </c>
      <c r="Q344" s="35" t="s">
        <v>211</v>
      </c>
      <c r="R344" s="53">
        <v>125000000</v>
      </c>
      <c r="S344" s="26"/>
      <c r="T344" s="29">
        <v>125000000</v>
      </c>
      <c r="U344" s="36">
        <v>1</v>
      </c>
      <c r="X344" s="26" t="s">
        <v>989</v>
      </c>
    </row>
    <row r="345" spans="1:24" x14ac:dyDescent="0.35">
      <c r="A345" s="26" t="s">
        <v>2528</v>
      </c>
      <c r="B345" s="32" t="s">
        <v>2610</v>
      </c>
      <c r="C345" s="26" t="s">
        <v>2520</v>
      </c>
      <c r="D345" s="26" t="s">
        <v>909</v>
      </c>
      <c r="E345" s="26" t="s">
        <v>354</v>
      </c>
      <c r="F345" s="26" t="s">
        <v>30</v>
      </c>
      <c r="G345" s="26" t="s">
        <v>30</v>
      </c>
      <c r="J345" s="26" t="s">
        <v>31</v>
      </c>
      <c r="L345" s="26" t="s">
        <v>32</v>
      </c>
      <c r="N345" s="28">
        <v>45910</v>
      </c>
      <c r="O345" s="28">
        <v>45971</v>
      </c>
      <c r="P345" s="26">
        <v>1</v>
      </c>
      <c r="Q345" s="35" t="s">
        <v>211</v>
      </c>
      <c r="R345" s="53">
        <v>300000000</v>
      </c>
      <c r="S345" s="26"/>
      <c r="T345" s="29">
        <v>300000000</v>
      </c>
      <c r="U345" s="36">
        <v>1</v>
      </c>
      <c r="X345" s="26" t="s">
        <v>989</v>
      </c>
    </row>
    <row r="346" spans="1:24" x14ac:dyDescent="0.35">
      <c r="A346" s="26" t="s">
        <v>2529</v>
      </c>
      <c r="B346" s="32" t="s">
        <v>2521</v>
      </c>
      <c r="C346" s="26" t="s">
        <v>2522</v>
      </c>
      <c r="D346" s="26" t="s">
        <v>28</v>
      </c>
      <c r="E346" s="26" t="s">
        <v>354</v>
      </c>
      <c r="F346" s="26" t="s">
        <v>30</v>
      </c>
      <c r="G346" s="26" t="s">
        <v>30</v>
      </c>
      <c r="J346" s="26" t="s">
        <v>31</v>
      </c>
      <c r="L346" s="26" t="s">
        <v>32</v>
      </c>
      <c r="N346" s="28" t="s">
        <v>2523</v>
      </c>
      <c r="O346" s="28" t="s">
        <v>2524</v>
      </c>
      <c r="P346" s="26">
        <v>1</v>
      </c>
      <c r="Q346" s="35" t="s">
        <v>211</v>
      </c>
      <c r="R346" s="53">
        <v>135000000</v>
      </c>
      <c r="S346" s="26"/>
      <c r="T346" s="29">
        <v>135000000</v>
      </c>
      <c r="U346" s="36">
        <v>1</v>
      </c>
      <c r="X346" s="26" t="s">
        <v>989</v>
      </c>
    </row>
    <row r="347" spans="1:24" x14ac:dyDescent="0.35">
      <c r="A347" s="26" t="s">
        <v>864</v>
      </c>
      <c r="B347" s="32" t="s">
        <v>865</v>
      </c>
      <c r="C347" s="26" t="s">
        <v>866</v>
      </c>
      <c r="D347" s="26" t="s">
        <v>867</v>
      </c>
      <c r="E347" s="26" t="s">
        <v>354</v>
      </c>
      <c r="F347" s="26" t="s">
        <v>30</v>
      </c>
      <c r="G347" s="26" t="s">
        <v>30</v>
      </c>
      <c r="J347" s="26" t="s">
        <v>146</v>
      </c>
      <c r="L347" s="26" t="s">
        <v>146</v>
      </c>
      <c r="N347" s="28">
        <v>44930</v>
      </c>
      <c r="O347" s="28">
        <v>45290</v>
      </c>
      <c r="P347" s="26">
        <v>44</v>
      </c>
      <c r="Q347" s="35" t="s">
        <v>49</v>
      </c>
      <c r="R347" s="29">
        <v>95985700</v>
      </c>
      <c r="S347" s="26"/>
      <c r="T347" s="29">
        <v>0</v>
      </c>
      <c r="U347" s="36">
        <v>0</v>
      </c>
      <c r="X347" s="26" t="s">
        <v>355</v>
      </c>
    </row>
    <row r="348" spans="1:24" x14ac:dyDescent="0.35">
      <c r="A348" s="26" t="s">
        <v>987</v>
      </c>
      <c r="B348" s="32" t="s">
        <v>988</v>
      </c>
      <c r="C348" s="26" t="s">
        <v>988</v>
      </c>
      <c r="D348" s="26" t="s">
        <v>847</v>
      </c>
      <c r="E348" s="26" t="s">
        <v>354</v>
      </c>
      <c r="F348" s="26" t="s">
        <v>30</v>
      </c>
      <c r="G348" s="26" t="s">
        <v>30</v>
      </c>
      <c r="J348" s="26" t="s">
        <v>426</v>
      </c>
      <c r="L348" s="26" t="s">
        <v>199</v>
      </c>
      <c r="N348" s="28">
        <v>45292</v>
      </c>
      <c r="O348" s="28">
        <v>45565</v>
      </c>
      <c r="P348" s="26">
        <v>36</v>
      </c>
      <c r="Q348" s="35" t="s">
        <v>49</v>
      </c>
      <c r="R348" s="29">
        <v>60382300</v>
      </c>
      <c r="S348" s="26"/>
      <c r="T348" s="29">
        <v>0</v>
      </c>
      <c r="U348" s="36">
        <v>0</v>
      </c>
      <c r="V348" s="26" t="s">
        <v>35</v>
      </c>
      <c r="X348" s="26" t="s">
        <v>989</v>
      </c>
    </row>
    <row r="349" spans="1:24" x14ac:dyDescent="0.35">
      <c r="A349" s="26" t="s">
        <v>990</v>
      </c>
      <c r="B349" s="32" t="s">
        <v>991</v>
      </c>
      <c r="C349" s="26" t="s">
        <v>991</v>
      </c>
      <c r="D349" s="26" t="s">
        <v>847</v>
      </c>
      <c r="E349" s="26" t="s">
        <v>354</v>
      </c>
      <c r="F349" s="26" t="s">
        <v>30</v>
      </c>
      <c r="G349" s="26" t="s">
        <v>30</v>
      </c>
      <c r="J349" s="26" t="s">
        <v>31</v>
      </c>
      <c r="L349" s="26" t="s">
        <v>199</v>
      </c>
      <c r="N349" s="28">
        <v>45292</v>
      </c>
      <c r="O349" s="28">
        <v>45565</v>
      </c>
      <c r="P349" s="26">
        <v>36</v>
      </c>
      <c r="Q349" s="35" t="s">
        <v>49</v>
      </c>
      <c r="R349" s="29">
        <v>26382300</v>
      </c>
      <c r="S349" s="26"/>
      <c r="T349" s="29">
        <v>0</v>
      </c>
      <c r="U349" s="36">
        <v>0</v>
      </c>
      <c r="V349" s="26" t="s">
        <v>35</v>
      </c>
      <c r="X349" s="26" t="s">
        <v>989</v>
      </c>
    </row>
    <row r="350" spans="1:24" x14ac:dyDescent="0.35">
      <c r="A350" s="26" t="s">
        <v>352</v>
      </c>
      <c r="B350" s="32" t="s">
        <v>353</v>
      </c>
      <c r="C350" s="26" t="s">
        <v>353</v>
      </c>
      <c r="D350" s="26" t="s">
        <v>28</v>
      </c>
      <c r="E350" s="26" t="s">
        <v>354</v>
      </c>
      <c r="F350" s="26" t="s">
        <v>30</v>
      </c>
      <c r="G350" s="26" t="s">
        <v>30</v>
      </c>
      <c r="J350" s="26" t="s">
        <v>31</v>
      </c>
      <c r="L350" s="26" t="s">
        <v>32</v>
      </c>
      <c r="N350" s="28">
        <v>45374</v>
      </c>
      <c r="O350" s="28">
        <v>45739</v>
      </c>
      <c r="P350" s="26">
        <v>52</v>
      </c>
      <c r="Q350" s="35" t="s">
        <v>49</v>
      </c>
      <c r="R350" s="29">
        <v>25000000</v>
      </c>
      <c r="S350" s="26"/>
      <c r="T350" s="29">
        <v>0</v>
      </c>
      <c r="U350" s="36">
        <v>0</v>
      </c>
      <c r="X350" s="26" t="s">
        <v>355</v>
      </c>
    </row>
    <row r="351" spans="1:24" x14ac:dyDescent="0.35">
      <c r="A351" s="26" t="s">
        <v>356</v>
      </c>
      <c r="B351" s="32" t="s">
        <v>357</v>
      </c>
      <c r="C351" s="26" t="s">
        <v>357</v>
      </c>
      <c r="D351" s="26" t="s">
        <v>77</v>
      </c>
      <c r="E351" s="26" t="s">
        <v>354</v>
      </c>
      <c r="F351" s="26" t="s">
        <v>30</v>
      </c>
      <c r="G351" s="26" t="s">
        <v>30</v>
      </c>
      <c r="J351" s="26" t="s">
        <v>31</v>
      </c>
      <c r="L351" s="26" t="s">
        <v>32</v>
      </c>
      <c r="N351" s="28">
        <v>45375</v>
      </c>
      <c r="O351" s="28">
        <v>45740</v>
      </c>
      <c r="P351" s="26">
        <v>52</v>
      </c>
      <c r="Q351" s="35" t="s">
        <v>49</v>
      </c>
      <c r="R351" s="29">
        <v>37165025</v>
      </c>
      <c r="S351" s="26"/>
      <c r="T351" s="29">
        <v>0</v>
      </c>
      <c r="U351" s="36">
        <v>0</v>
      </c>
      <c r="X351" s="26" t="s">
        <v>355</v>
      </c>
    </row>
    <row r="352" spans="1:24" x14ac:dyDescent="0.35">
      <c r="A352" s="26" t="s">
        <v>358</v>
      </c>
      <c r="B352" s="32" t="s">
        <v>359</v>
      </c>
      <c r="C352" s="26" t="s">
        <v>359</v>
      </c>
      <c r="D352" s="26" t="s">
        <v>28</v>
      </c>
      <c r="E352" s="26" t="s">
        <v>354</v>
      </c>
      <c r="F352" s="26" t="s">
        <v>30</v>
      </c>
      <c r="G352" s="26" t="s">
        <v>30</v>
      </c>
      <c r="J352" s="26" t="s">
        <v>31</v>
      </c>
      <c r="L352" s="26" t="s">
        <v>32</v>
      </c>
      <c r="N352" s="28">
        <v>45376</v>
      </c>
      <c r="O352" s="28">
        <v>45741</v>
      </c>
      <c r="P352" s="26">
        <v>52</v>
      </c>
      <c r="Q352" s="35" t="s">
        <v>49</v>
      </c>
      <c r="R352" s="29">
        <v>15000000</v>
      </c>
      <c r="S352" s="26"/>
      <c r="T352" s="29">
        <v>0</v>
      </c>
      <c r="U352" s="36">
        <v>0</v>
      </c>
      <c r="X352" s="26" t="s">
        <v>355</v>
      </c>
    </row>
    <row r="353" spans="1:24" x14ac:dyDescent="0.35">
      <c r="A353" s="26" t="s">
        <v>360</v>
      </c>
      <c r="B353" s="32" t="s">
        <v>361</v>
      </c>
      <c r="C353" s="26" t="s">
        <v>361</v>
      </c>
      <c r="D353" s="26" t="s">
        <v>28</v>
      </c>
      <c r="E353" s="26" t="s">
        <v>354</v>
      </c>
      <c r="F353" s="26" t="s">
        <v>30</v>
      </c>
      <c r="G353" s="26" t="s">
        <v>30</v>
      </c>
      <c r="J353" s="26" t="s">
        <v>31</v>
      </c>
      <c r="L353" s="26" t="s">
        <v>32</v>
      </c>
      <c r="N353" s="28">
        <v>45377</v>
      </c>
      <c r="O353" s="28">
        <v>45742</v>
      </c>
      <c r="P353" s="26">
        <v>52</v>
      </c>
      <c r="Q353" s="35" t="s">
        <v>49</v>
      </c>
      <c r="R353" s="29">
        <v>13191150</v>
      </c>
      <c r="S353" s="26"/>
      <c r="T353" s="29">
        <v>0</v>
      </c>
      <c r="U353" s="36">
        <v>0</v>
      </c>
      <c r="X353" s="26" t="s">
        <v>355</v>
      </c>
    </row>
    <row r="354" spans="1:24" x14ac:dyDescent="0.35">
      <c r="A354" s="26" t="s">
        <v>362</v>
      </c>
      <c r="B354" s="32" t="s">
        <v>363</v>
      </c>
      <c r="C354" s="26" t="s">
        <v>363</v>
      </c>
      <c r="D354" s="26" t="s">
        <v>28</v>
      </c>
      <c r="E354" s="26" t="s">
        <v>354</v>
      </c>
      <c r="F354" s="26" t="s">
        <v>30</v>
      </c>
      <c r="G354" s="26" t="s">
        <v>30</v>
      </c>
      <c r="J354" s="26" t="s">
        <v>31</v>
      </c>
      <c r="L354" s="26" t="s">
        <v>32</v>
      </c>
      <c r="N354" s="28">
        <v>45378</v>
      </c>
      <c r="O354" s="28">
        <v>45743</v>
      </c>
      <c r="P354" s="26">
        <v>52</v>
      </c>
      <c r="Q354" s="35" t="s">
        <v>49</v>
      </c>
      <c r="R354" s="29">
        <v>33191150</v>
      </c>
      <c r="S354" s="26"/>
      <c r="T354" s="29">
        <v>0</v>
      </c>
      <c r="U354" s="36">
        <v>0</v>
      </c>
      <c r="X354" s="26" t="s">
        <v>355</v>
      </c>
    </row>
    <row r="355" spans="1:24" ht="15.5" x14ac:dyDescent="0.35">
      <c r="A355" s="26" t="s">
        <v>2336</v>
      </c>
      <c r="B355" s="32" t="s">
        <v>2344</v>
      </c>
      <c r="C355" s="26" t="s">
        <v>2345</v>
      </c>
      <c r="D355" s="26" t="s">
        <v>109</v>
      </c>
      <c r="E355" s="26" t="s">
        <v>315</v>
      </c>
      <c r="F355" s="26" t="s">
        <v>30</v>
      </c>
      <c r="G355" s="26" t="s">
        <v>30</v>
      </c>
      <c r="J355" s="26" t="s">
        <v>90</v>
      </c>
      <c r="L355" s="26" t="s">
        <v>91</v>
      </c>
      <c r="N355" s="28">
        <v>45992</v>
      </c>
      <c r="O355" s="28" t="s">
        <v>2346</v>
      </c>
      <c r="P355" s="26">
        <v>12</v>
      </c>
      <c r="Q355" s="35" t="s">
        <v>34</v>
      </c>
      <c r="R355" s="29">
        <v>8788613938.3299999</v>
      </c>
      <c r="S355" s="26"/>
      <c r="T355" s="54">
        <v>4679146679.6899996</v>
      </c>
      <c r="U355" s="36">
        <v>0.6</v>
      </c>
      <c r="X355" s="26" t="s">
        <v>848</v>
      </c>
    </row>
    <row r="356" spans="1:24" x14ac:dyDescent="0.35">
      <c r="A356" s="26" t="s">
        <v>740</v>
      </c>
      <c r="B356" s="32" t="s">
        <v>741</v>
      </c>
      <c r="C356" s="26" t="s">
        <v>742</v>
      </c>
      <c r="D356" s="26" t="s">
        <v>28</v>
      </c>
      <c r="E356" s="26" t="s">
        <v>315</v>
      </c>
      <c r="F356" s="26" t="s">
        <v>30</v>
      </c>
      <c r="G356" s="26" t="s">
        <v>30</v>
      </c>
      <c r="J356" s="26" t="s">
        <v>90</v>
      </c>
      <c r="L356" s="26" t="s">
        <v>91</v>
      </c>
      <c r="N356" s="28">
        <v>45250</v>
      </c>
      <c r="O356" s="28" t="s">
        <v>697</v>
      </c>
      <c r="P356" s="26">
        <v>32</v>
      </c>
      <c r="Q356" s="35" t="s">
        <v>49</v>
      </c>
      <c r="R356" s="29">
        <v>5000000</v>
      </c>
      <c r="S356" s="26"/>
      <c r="T356" s="29">
        <v>0</v>
      </c>
      <c r="U356" s="36">
        <v>0</v>
      </c>
      <c r="X356" s="26" t="s">
        <v>324</v>
      </c>
    </row>
    <row r="357" spans="1:24" x14ac:dyDescent="0.35">
      <c r="A357" s="26" t="s">
        <v>743</v>
      </c>
      <c r="B357" s="32" t="s">
        <v>744</v>
      </c>
      <c r="C357" s="26" t="s">
        <v>745</v>
      </c>
      <c r="D357" s="26" t="s">
        <v>28</v>
      </c>
      <c r="E357" s="26" t="s">
        <v>315</v>
      </c>
      <c r="F357" s="26" t="s">
        <v>30</v>
      </c>
      <c r="G357" s="26" t="s">
        <v>30</v>
      </c>
      <c r="J357" s="26" t="s">
        <v>194</v>
      </c>
      <c r="L357" s="26" t="s">
        <v>429</v>
      </c>
      <c r="N357" s="28">
        <v>45261</v>
      </c>
      <c r="O357" s="28">
        <v>45442</v>
      </c>
      <c r="P357" s="26">
        <v>32</v>
      </c>
      <c r="Q357" s="35" t="s">
        <v>49</v>
      </c>
      <c r="R357" s="29">
        <v>95048000</v>
      </c>
      <c r="S357" s="26"/>
      <c r="T357" s="29">
        <v>0</v>
      </c>
      <c r="U357" s="36">
        <v>0</v>
      </c>
      <c r="X357" s="26" t="s">
        <v>318</v>
      </c>
    </row>
    <row r="358" spans="1:24" x14ac:dyDescent="0.35">
      <c r="A358" s="26" t="s">
        <v>746</v>
      </c>
      <c r="B358" s="32" t="s">
        <v>747</v>
      </c>
      <c r="C358" s="26" t="s">
        <v>748</v>
      </c>
      <c r="D358" s="26" t="s">
        <v>28</v>
      </c>
      <c r="E358" s="26" t="s">
        <v>315</v>
      </c>
      <c r="F358" s="26" t="s">
        <v>30</v>
      </c>
      <c r="G358" s="26" t="s">
        <v>30</v>
      </c>
      <c r="J358" s="26" t="s">
        <v>90</v>
      </c>
      <c r="L358" s="26" t="s">
        <v>32</v>
      </c>
      <c r="N358" s="28">
        <v>45257</v>
      </c>
      <c r="O358" s="28">
        <v>45442</v>
      </c>
      <c r="P358" s="26">
        <v>28</v>
      </c>
      <c r="Q358" s="35" t="s">
        <v>49</v>
      </c>
      <c r="R358" s="29">
        <v>50000000</v>
      </c>
      <c r="S358" s="26"/>
      <c r="T358" s="29">
        <v>0</v>
      </c>
      <c r="U358" s="36">
        <v>0</v>
      </c>
      <c r="X358" s="26" t="s">
        <v>749</v>
      </c>
    </row>
    <row r="359" spans="1:24" x14ac:dyDescent="0.35">
      <c r="A359" s="26" t="s">
        <v>750</v>
      </c>
      <c r="B359" s="32" t="s">
        <v>751</v>
      </c>
      <c r="C359" s="26" t="s">
        <v>752</v>
      </c>
      <c r="D359" s="26" t="s">
        <v>753</v>
      </c>
      <c r="E359" s="26" t="s">
        <v>315</v>
      </c>
      <c r="F359" s="26" t="s">
        <v>30</v>
      </c>
      <c r="G359" s="26" t="s">
        <v>30</v>
      </c>
      <c r="J359" s="26" t="s">
        <v>90</v>
      </c>
      <c r="L359" s="26" t="s">
        <v>223</v>
      </c>
      <c r="N359" s="28">
        <v>45261</v>
      </c>
      <c r="O359" s="28">
        <v>45473</v>
      </c>
      <c r="P359" s="26">
        <v>28</v>
      </c>
      <c r="Q359" s="35" t="s">
        <v>49</v>
      </c>
      <c r="R359" s="29">
        <v>218000000</v>
      </c>
      <c r="S359" s="26"/>
      <c r="T359" s="29">
        <v>0</v>
      </c>
      <c r="U359" s="36">
        <v>0</v>
      </c>
      <c r="X359" s="26" t="s">
        <v>318</v>
      </c>
    </row>
    <row r="360" spans="1:24" x14ac:dyDescent="0.35">
      <c r="A360" s="26" t="s">
        <v>2379</v>
      </c>
      <c r="B360" s="32" t="s">
        <v>755</v>
      </c>
      <c r="C360" s="26" t="s">
        <v>755</v>
      </c>
      <c r="D360" s="26" t="s">
        <v>117</v>
      </c>
      <c r="E360" s="26" t="s">
        <v>315</v>
      </c>
      <c r="F360" s="26" t="s">
        <v>30</v>
      </c>
      <c r="G360" s="26" t="s">
        <v>30</v>
      </c>
      <c r="J360" s="26" t="s">
        <v>90</v>
      </c>
      <c r="L360" s="26" t="s">
        <v>91</v>
      </c>
      <c r="N360" s="28">
        <v>45261</v>
      </c>
      <c r="O360" s="28">
        <v>45473</v>
      </c>
      <c r="P360" s="26">
        <v>24</v>
      </c>
      <c r="Q360" s="35" t="s">
        <v>49</v>
      </c>
      <c r="R360" s="29">
        <v>50000000</v>
      </c>
      <c r="S360" s="26"/>
      <c r="T360" s="29">
        <v>0</v>
      </c>
      <c r="U360" s="36">
        <v>0</v>
      </c>
      <c r="X360" s="26" t="s">
        <v>318</v>
      </c>
    </row>
    <row r="361" spans="1:24" x14ac:dyDescent="0.35">
      <c r="A361" s="26" t="s">
        <v>754</v>
      </c>
      <c r="B361" s="32" t="s">
        <v>757</v>
      </c>
      <c r="C361" s="26" t="s">
        <v>757</v>
      </c>
      <c r="D361" s="26" t="s">
        <v>117</v>
      </c>
      <c r="E361" s="26" t="s">
        <v>315</v>
      </c>
      <c r="F361" s="26" t="s">
        <v>30</v>
      </c>
      <c r="G361" s="26" t="s">
        <v>30</v>
      </c>
      <c r="J361" s="26" t="s">
        <v>90</v>
      </c>
      <c r="L361" s="26" t="s">
        <v>223</v>
      </c>
      <c r="N361" s="28">
        <v>45261</v>
      </c>
      <c r="O361" s="28">
        <v>45473</v>
      </c>
      <c r="P361" s="26">
        <v>28</v>
      </c>
      <c r="Q361" s="35" t="s">
        <v>49</v>
      </c>
      <c r="R361" s="29">
        <v>95974718</v>
      </c>
      <c r="S361" s="26"/>
      <c r="T361" s="29">
        <v>0</v>
      </c>
      <c r="U361" s="36">
        <v>0</v>
      </c>
      <c r="X361" s="26" t="s">
        <v>318</v>
      </c>
    </row>
    <row r="362" spans="1:24" x14ac:dyDescent="0.35">
      <c r="A362" s="26" t="s">
        <v>756</v>
      </c>
      <c r="B362" s="32" t="s">
        <v>759</v>
      </c>
      <c r="C362" s="26" t="s">
        <v>760</v>
      </c>
      <c r="D362" s="26" t="s">
        <v>117</v>
      </c>
      <c r="E362" s="26" t="s">
        <v>315</v>
      </c>
      <c r="F362" s="26" t="s">
        <v>30</v>
      </c>
      <c r="G362" s="26" t="s">
        <v>30</v>
      </c>
      <c r="J362" s="26" t="s">
        <v>90</v>
      </c>
      <c r="L362" s="26" t="s">
        <v>91</v>
      </c>
      <c r="N362" s="28">
        <v>45261</v>
      </c>
      <c r="O362" s="28">
        <v>45442</v>
      </c>
      <c r="P362" s="26">
        <v>24</v>
      </c>
      <c r="Q362" s="35" t="s">
        <v>49</v>
      </c>
      <c r="R362" s="29">
        <v>41583500</v>
      </c>
      <c r="S362" s="26"/>
      <c r="T362" s="29">
        <v>0</v>
      </c>
      <c r="U362" s="36">
        <v>0</v>
      </c>
      <c r="X362" s="26" t="s">
        <v>318</v>
      </c>
    </row>
    <row r="363" spans="1:24" x14ac:dyDescent="0.35">
      <c r="A363" s="26" t="s">
        <v>758</v>
      </c>
      <c r="B363" s="32" t="s">
        <v>762</v>
      </c>
      <c r="C363" s="26" t="s">
        <v>763</v>
      </c>
      <c r="D363" s="26" t="s">
        <v>28</v>
      </c>
      <c r="E363" s="26" t="s">
        <v>315</v>
      </c>
      <c r="F363" s="26" t="s">
        <v>30</v>
      </c>
      <c r="G363" s="26" t="s">
        <v>30</v>
      </c>
      <c r="J363" s="26" t="s">
        <v>90</v>
      </c>
      <c r="L363" s="26" t="s">
        <v>91</v>
      </c>
      <c r="N363" s="28">
        <v>45261</v>
      </c>
      <c r="O363" s="28">
        <v>45442</v>
      </c>
      <c r="P363" s="26">
        <v>24</v>
      </c>
      <c r="Q363" s="35" t="s">
        <v>49</v>
      </c>
      <c r="R363" s="29">
        <v>20000000</v>
      </c>
      <c r="S363" s="26"/>
      <c r="T363" s="29">
        <v>0</v>
      </c>
      <c r="U363" s="36">
        <v>0</v>
      </c>
      <c r="X363" s="26" t="s">
        <v>50</v>
      </c>
    </row>
    <row r="364" spans="1:24" x14ac:dyDescent="0.35">
      <c r="A364" s="26" t="s">
        <v>761</v>
      </c>
      <c r="B364" s="32" t="s">
        <v>2347</v>
      </c>
      <c r="C364" s="26" t="s">
        <v>2348</v>
      </c>
      <c r="D364" s="26" t="s">
        <v>28</v>
      </c>
      <c r="E364" s="26" t="s">
        <v>315</v>
      </c>
      <c r="F364" s="26" t="s">
        <v>30</v>
      </c>
      <c r="G364" s="26" t="s">
        <v>30</v>
      </c>
      <c r="J364" s="26" t="s">
        <v>90</v>
      </c>
      <c r="L364" s="26" t="s">
        <v>91</v>
      </c>
      <c r="N364" s="28">
        <v>45992</v>
      </c>
      <c r="O364" s="28" t="s">
        <v>2346</v>
      </c>
      <c r="P364" s="26">
        <v>12</v>
      </c>
      <c r="Q364" s="35" t="s">
        <v>34</v>
      </c>
      <c r="R364" s="29">
        <v>8484270689.5299997</v>
      </c>
      <c r="S364" s="33"/>
      <c r="T364" s="29">
        <v>2500000000</v>
      </c>
      <c r="U364" s="36">
        <v>0.35</v>
      </c>
      <c r="X364" s="26" t="s">
        <v>848</v>
      </c>
    </row>
    <row r="365" spans="1:24" x14ac:dyDescent="0.35">
      <c r="A365" s="26" t="s">
        <v>2337</v>
      </c>
      <c r="B365" s="32" t="s">
        <v>765</v>
      </c>
      <c r="C365" s="26" t="s">
        <v>766</v>
      </c>
      <c r="D365" s="26" t="s">
        <v>28</v>
      </c>
      <c r="E365" s="26" t="s">
        <v>315</v>
      </c>
      <c r="F365" s="26" t="s">
        <v>30</v>
      </c>
      <c r="G365" s="26" t="s">
        <v>30</v>
      </c>
      <c r="J365" s="26" t="s">
        <v>31</v>
      </c>
      <c r="L365" s="26" t="s">
        <v>32</v>
      </c>
      <c r="N365" s="28">
        <v>45261</v>
      </c>
      <c r="O365" s="28">
        <v>45442</v>
      </c>
      <c r="P365" s="26">
        <v>24</v>
      </c>
      <c r="Q365" s="35" t="s">
        <v>49</v>
      </c>
      <c r="R365" s="29">
        <v>10000000</v>
      </c>
      <c r="S365" s="26"/>
      <c r="T365" s="29">
        <v>0</v>
      </c>
      <c r="U365" s="36">
        <v>0</v>
      </c>
      <c r="X365" s="26" t="s">
        <v>67</v>
      </c>
    </row>
    <row r="366" spans="1:24" x14ac:dyDescent="0.35">
      <c r="A366" s="26" t="s">
        <v>764</v>
      </c>
      <c r="B366" s="32" t="s">
        <v>768</v>
      </c>
      <c r="C366" s="26" t="s">
        <v>769</v>
      </c>
      <c r="D366" s="26" t="s">
        <v>28</v>
      </c>
      <c r="E366" s="26" t="s">
        <v>315</v>
      </c>
      <c r="F366" s="26" t="s">
        <v>30</v>
      </c>
      <c r="G366" s="26" t="s">
        <v>30</v>
      </c>
      <c r="J366" s="26" t="s">
        <v>90</v>
      </c>
      <c r="L366" s="26" t="s">
        <v>91</v>
      </c>
      <c r="N366" s="28">
        <v>45261</v>
      </c>
      <c r="O366" s="28">
        <v>45442</v>
      </c>
      <c r="P366" s="26">
        <v>24</v>
      </c>
      <c r="Q366" s="35" t="s">
        <v>49</v>
      </c>
      <c r="R366" s="29">
        <v>8000000</v>
      </c>
      <c r="S366" s="26"/>
      <c r="T366" s="29">
        <v>0</v>
      </c>
      <c r="U366" s="36">
        <v>0</v>
      </c>
      <c r="X366" s="26" t="s">
        <v>318</v>
      </c>
    </row>
    <row r="367" spans="1:24" x14ac:dyDescent="0.35">
      <c r="A367" s="26" t="s">
        <v>767</v>
      </c>
      <c r="B367" s="32" t="s">
        <v>771</v>
      </c>
      <c r="C367" s="26" t="s">
        <v>772</v>
      </c>
      <c r="D367" s="26" t="s">
        <v>117</v>
      </c>
      <c r="E367" s="26" t="s">
        <v>315</v>
      </c>
      <c r="F367" s="26" t="s">
        <v>30</v>
      </c>
      <c r="G367" s="26" t="s">
        <v>30</v>
      </c>
      <c r="J367" s="26" t="s">
        <v>90</v>
      </c>
      <c r="L367" s="26" t="s">
        <v>91</v>
      </c>
      <c r="N367" s="28">
        <v>45261</v>
      </c>
      <c r="O367" s="28">
        <v>45473</v>
      </c>
      <c r="P367" s="26">
        <v>28</v>
      </c>
      <c r="Q367" s="35" t="s">
        <v>49</v>
      </c>
      <c r="R367" s="29">
        <v>8000000</v>
      </c>
      <c r="S367" s="26"/>
      <c r="T367" s="29">
        <v>0</v>
      </c>
      <c r="U367" s="36">
        <v>0</v>
      </c>
      <c r="X367" s="26" t="s">
        <v>318</v>
      </c>
    </row>
    <row r="368" spans="1:24" x14ac:dyDescent="0.35">
      <c r="A368" s="26" t="s">
        <v>770</v>
      </c>
      <c r="B368" s="32" t="s">
        <v>774</v>
      </c>
      <c r="C368" s="26" t="s">
        <v>775</v>
      </c>
      <c r="D368" s="26" t="s">
        <v>117</v>
      </c>
      <c r="E368" s="26" t="s">
        <v>315</v>
      </c>
      <c r="F368" s="26" t="s">
        <v>30</v>
      </c>
      <c r="G368" s="26" t="s">
        <v>30</v>
      </c>
      <c r="J368" s="26" t="s">
        <v>90</v>
      </c>
      <c r="L368" s="26" t="s">
        <v>91</v>
      </c>
      <c r="N368" s="28">
        <v>45261</v>
      </c>
      <c r="O368" s="28">
        <v>45473</v>
      </c>
      <c r="P368" s="26">
        <v>28</v>
      </c>
      <c r="Q368" s="35" t="s">
        <v>49</v>
      </c>
      <c r="R368" s="29">
        <v>10000000</v>
      </c>
      <c r="S368" s="26"/>
      <c r="T368" s="29">
        <v>0</v>
      </c>
      <c r="U368" s="36">
        <v>0</v>
      </c>
      <c r="X368" s="26" t="s">
        <v>663</v>
      </c>
    </row>
    <row r="369" spans="1:24" x14ac:dyDescent="0.35">
      <c r="A369" s="26" t="s">
        <v>773</v>
      </c>
      <c r="B369" s="32" t="s">
        <v>777</v>
      </c>
      <c r="C369" s="26" t="s">
        <v>778</v>
      </c>
      <c r="D369" s="26" t="s">
        <v>117</v>
      </c>
      <c r="E369" s="26" t="s">
        <v>315</v>
      </c>
      <c r="F369" s="26" t="s">
        <v>30</v>
      </c>
      <c r="G369" s="26" t="s">
        <v>30</v>
      </c>
      <c r="J369" s="26" t="s">
        <v>90</v>
      </c>
      <c r="L369" s="26" t="s">
        <v>91</v>
      </c>
      <c r="N369" s="28">
        <v>45292</v>
      </c>
      <c r="O369" s="28">
        <v>45657</v>
      </c>
      <c r="P369" s="26">
        <f>4*5</f>
        <v>20</v>
      </c>
      <c r="Q369" s="35" t="s">
        <v>49</v>
      </c>
      <c r="R369" s="29">
        <v>10000000</v>
      </c>
      <c r="S369" s="26"/>
      <c r="T369" s="29">
        <v>0</v>
      </c>
      <c r="U369" s="36">
        <v>0</v>
      </c>
      <c r="X369" s="26" t="s">
        <v>50</v>
      </c>
    </row>
    <row r="370" spans="1:24" x14ac:dyDescent="0.35">
      <c r="A370" s="26" t="s">
        <v>776</v>
      </c>
      <c r="B370" s="32" t="s">
        <v>780</v>
      </c>
      <c r="C370" s="26" t="s">
        <v>781</v>
      </c>
      <c r="D370" s="26" t="s">
        <v>117</v>
      </c>
      <c r="E370" s="26" t="s">
        <v>315</v>
      </c>
      <c r="F370" s="26" t="s">
        <v>30</v>
      </c>
      <c r="G370" s="26" t="s">
        <v>30</v>
      </c>
      <c r="J370" s="26" t="s">
        <v>90</v>
      </c>
      <c r="L370" s="26" t="s">
        <v>91</v>
      </c>
      <c r="N370" s="28">
        <v>44938</v>
      </c>
      <c r="O370" s="28">
        <v>45535</v>
      </c>
      <c r="P370" s="26">
        <v>32</v>
      </c>
      <c r="Q370" s="35" t="s">
        <v>49</v>
      </c>
      <c r="R370" s="29">
        <v>8000000</v>
      </c>
      <c r="S370" s="26"/>
      <c r="T370" s="29">
        <v>0</v>
      </c>
      <c r="U370" s="36">
        <v>0</v>
      </c>
      <c r="X370" s="26" t="s">
        <v>324</v>
      </c>
    </row>
    <row r="371" spans="1:24" x14ac:dyDescent="0.35">
      <c r="A371" s="26" t="s">
        <v>779</v>
      </c>
      <c r="B371" s="32" t="s">
        <v>783</v>
      </c>
      <c r="C371" s="26" t="s">
        <v>784</v>
      </c>
      <c r="D371" s="26" t="s">
        <v>117</v>
      </c>
      <c r="E371" s="26" t="s">
        <v>315</v>
      </c>
      <c r="F371" s="26" t="s">
        <v>30</v>
      </c>
      <c r="G371" s="26" t="s">
        <v>30</v>
      </c>
      <c r="J371" s="26" t="s">
        <v>90</v>
      </c>
      <c r="L371" s="26" t="s">
        <v>91</v>
      </c>
      <c r="N371" s="28">
        <v>45261</v>
      </c>
      <c r="O371" s="28">
        <v>45504</v>
      </c>
      <c r="P371" s="26">
        <v>32</v>
      </c>
      <c r="Q371" s="35" t="s">
        <v>49</v>
      </c>
      <c r="R371" s="29">
        <v>50000000</v>
      </c>
      <c r="S371" s="26"/>
      <c r="T371" s="29">
        <v>0</v>
      </c>
      <c r="U371" s="36">
        <v>0</v>
      </c>
      <c r="X371" s="26" t="s">
        <v>50</v>
      </c>
    </row>
    <row r="372" spans="1:24" x14ac:dyDescent="0.35">
      <c r="A372" s="26" t="s">
        <v>782</v>
      </c>
      <c r="B372" s="32" t="s">
        <v>786</v>
      </c>
      <c r="C372" s="26" t="s">
        <v>787</v>
      </c>
      <c r="D372" s="26" t="s">
        <v>117</v>
      </c>
      <c r="E372" s="26" t="s">
        <v>315</v>
      </c>
      <c r="F372" s="26" t="s">
        <v>30</v>
      </c>
      <c r="G372" s="26" t="s">
        <v>30</v>
      </c>
      <c r="J372" s="26" t="s">
        <v>90</v>
      </c>
      <c r="L372" s="26" t="s">
        <v>91</v>
      </c>
      <c r="N372" s="28">
        <v>45208</v>
      </c>
      <c r="O372" s="28">
        <v>45412</v>
      </c>
      <c r="P372" s="26">
        <v>24</v>
      </c>
      <c r="Q372" s="35" t="s">
        <v>49</v>
      </c>
      <c r="R372" s="29">
        <v>50000000</v>
      </c>
      <c r="S372" s="26"/>
      <c r="T372" s="29">
        <v>0</v>
      </c>
      <c r="U372" s="36">
        <v>0</v>
      </c>
      <c r="X372" s="26" t="s">
        <v>663</v>
      </c>
    </row>
    <row r="373" spans="1:24" x14ac:dyDescent="0.35">
      <c r="A373" s="26" t="s">
        <v>785</v>
      </c>
      <c r="B373" s="32" t="s">
        <v>789</v>
      </c>
      <c r="C373" s="26" t="s">
        <v>790</v>
      </c>
      <c r="D373" s="26" t="s">
        <v>95</v>
      </c>
      <c r="E373" s="26" t="s">
        <v>315</v>
      </c>
      <c r="F373" s="26" t="s">
        <v>30</v>
      </c>
      <c r="G373" s="26" t="s">
        <v>30</v>
      </c>
      <c r="J373" s="26" t="s">
        <v>90</v>
      </c>
      <c r="L373" s="26" t="s">
        <v>40</v>
      </c>
      <c r="N373" s="28">
        <v>44236</v>
      </c>
      <c r="O373" s="28">
        <v>45998</v>
      </c>
      <c r="P373" s="26">
        <v>24</v>
      </c>
      <c r="Q373" s="35" t="s">
        <v>34</v>
      </c>
      <c r="R373" s="29">
        <v>570462213.09000003</v>
      </c>
      <c r="S373" s="26"/>
      <c r="T373" s="29">
        <v>475547201.69999999</v>
      </c>
      <c r="U373" s="36">
        <f>T373/R373</f>
        <v>0.8336173558702904</v>
      </c>
      <c r="X373" s="26" t="s">
        <v>318</v>
      </c>
    </row>
    <row r="374" spans="1:24" x14ac:dyDescent="0.35">
      <c r="A374" s="26" t="s">
        <v>2338</v>
      </c>
      <c r="B374" s="32" t="s">
        <v>2349</v>
      </c>
      <c r="C374" s="26" t="s">
        <v>2350</v>
      </c>
      <c r="D374" s="26" t="s">
        <v>28</v>
      </c>
      <c r="E374" s="26" t="s">
        <v>315</v>
      </c>
      <c r="F374" s="26" t="s">
        <v>30</v>
      </c>
      <c r="G374" s="26" t="s">
        <v>30</v>
      </c>
      <c r="J374" s="26" t="s">
        <v>90</v>
      </c>
      <c r="L374" s="26" t="s">
        <v>91</v>
      </c>
      <c r="N374" s="28">
        <v>45992</v>
      </c>
      <c r="O374" s="28" t="s">
        <v>2346</v>
      </c>
      <c r="P374" s="26">
        <v>12</v>
      </c>
      <c r="Q374" s="35" t="s">
        <v>34</v>
      </c>
      <c r="R374" s="29">
        <v>11100000000</v>
      </c>
      <c r="S374" s="26"/>
      <c r="T374" s="29">
        <v>11100000000</v>
      </c>
      <c r="U374" s="36">
        <f>T374/R374</f>
        <v>1</v>
      </c>
      <c r="X374" s="26" t="s">
        <v>848</v>
      </c>
    </row>
    <row r="375" spans="1:24" x14ac:dyDescent="0.35">
      <c r="A375" s="26" t="s">
        <v>2339</v>
      </c>
      <c r="B375" s="32" t="s">
        <v>792</v>
      </c>
      <c r="C375" s="26" t="s">
        <v>792</v>
      </c>
      <c r="D375" s="26" t="s">
        <v>28</v>
      </c>
      <c r="E375" s="26" t="s">
        <v>315</v>
      </c>
      <c r="F375" s="26" t="s">
        <v>30</v>
      </c>
      <c r="G375" s="26" t="s">
        <v>30</v>
      </c>
      <c r="J375" s="26" t="s">
        <v>31</v>
      </c>
      <c r="L375" s="26" t="s">
        <v>473</v>
      </c>
      <c r="N375" s="28">
        <v>45261</v>
      </c>
      <c r="O375" s="28">
        <v>45473</v>
      </c>
      <c r="P375" s="26">
        <v>28</v>
      </c>
      <c r="Q375" s="35" t="s">
        <v>49</v>
      </c>
      <c r="R375" s="29">
        <v>10000000</v>
      </c>
      <c r="S375" s="26"/>
      <c r="T375" s="29">
        <v>0</v>
      </c>
      <c r="U375" s="36">
        <v>0</v>
      </c>
      <c r="X375" s="26" t="s">
        <v>50</v>
      </c>
    </row>
    <row r="376" spans="1:24" x14ac:dyDescent="0.35">
      <c r="A376" s="26" t="s">
        <v>788</v>
      </c>
      <c r="B376" s="32" t="s">
        <v>2351</v>
      </c>
      <c r="C376" s="26" t="s">
        <v>2352</v>
      </c>
      <c r="D376" s="26" t="s">
        <v>285</v>
      </c>
      <c r="E376" s="26" t="s">
        <v>315</v>
      </c>
      <c r="F376" s="26" t="s">
        <v>30</v>
      </c>
      <c r="G376" s="26" t="s">
        <v>30</v>
      </c>
      <c r="J376" s="26" t="s">
        <v>90</v>
      </c>
      <c r="L376" s="26" t="s">
        <v>91</v>
      </c>
      <c r="N376" s="28">
        <v>45992</v>
      </c>
      <c r="O376" s="28" t="s">
        <v>2346</v>
      </c>
      <c r="P376" s="26">
        <v>12</v>
      </c>
      <c r="Q376" s="35" t="s">
        <v>211</v>
      </c>
      <c r="R376" s="29">
        <v>2996327825.8699999</v>
      </c>
      <c r="S376" s="26"/>
      <c r="T376" s="29">
        <v>2996327825.8699999</v>
      </c>
      <c r="U376" s="36">
        <f>T376/R376</f>
        <v>1</v>
      </c>
      <c r="X376" s="26" t="s">
        <v>848</v>
      </c>
    </row>
    <row r="377" spans="1:24" x14ac:dyDescent="0.35">
      <c r="A377" s="26" t="s">
        <v>2340</v>
      </c>
      <c r="B377" s="32" t="s">
        <v>794</v>
      </c>
      <c r="C377" s="26" t="s">
        <v>794</v>
      </c>
      <c r="D377" s="26" t="s">
        <v>28</v>
      </c>
      <c r="E377" s="26" t="s">
        <v>315</v>
      </c>
      <c r="F377" s="26" t="s">
        <v>30</v>
      </c>
      <c r="G377" s="26" t="s">
        <v>30</v>
      </c>
      <c r="J377" s="26" t="s">
        <v>90</v>
      </c>
      <c r="L377" s="26" t="s">
        <v>91</v>
      </c>
      <c r="N377" s="28" t="s">
        <v>2619</v>
      </c>
      <c r="O377" s="28">
        <v>45442</v>
      </c>
      <c r="P377" s="26">
        <v>28</v>
      </c>
      <c r="Q377" s="35" t="s">
        <v>49</v>
      </c>
      <c r="R377" s="29">
        <v>50000000</v>
      </c>
      <c r="S377" s="26"/>
      <c r="T377" s="29">
        <v>0</v>
      </c>
      <c r="U377" s="36">
        <v>0</v>
      </c>
      <c r="X377" s="26" t="s">
        <v>324</v>
      </c>
    </row>
    <row r="378" spans="1:24" ht="15.5" x14ac:dyDescent="0.35">
      <c r="A378" s="26" t="s">
        <v>791</v>
      </c>
      <c r="B378" s="32" t="s">
        <v>796</v>
      </c>
      <c r="C378" s="26" t="s">
        <v>796</v>
      </c>
      <c r="D378" s="26" t="s">
        <v>297</v>
      </c>
      <c r="E378" s="26" t="s">
        <v>315</v>
      </c>
      <c r="F378" s="26" t="s">
        <v>30</v>
      </c>
      <c r="G378" s="26" t="s">
        <v>30</v>
      </c>
      <c r="J378" s="26" t="s">
        <v>90</v>
      </c>
      <c r="L378" s="26" t="s">
        <v>91</v>
      </c>
      <c r="N378" s="28">
        <v>45238</v>
      </c>
      <c r="O378" s="28">
        <v>45427</v>
      </c>
      <c r="P378" s="26">
        <v>36</v>
      </c>
      <c r="Q378" s="35" t="s">
        <v>34</v>
      </c>
      <c r="R378" s="29">
        <v>1080246024.45</v>
      </c>
      <c r="S378" s="26"/>
      <c r="T378" s="55">
        <v>600000</v>
      </c>
      <c r="U378" s="36">
        <v>0.45</v>
      </c>
      <c r="X378" s="26" t="s">
        <v>318</v>
      </c>
    </row>
    <row r="379" spans="1:24" x14ac:dyDescent="0.35">
      <c r="A379" s="26" t="s">
        <v>793</v>
      </c>
      <c r="B379" s="32" t="s">
        <v>2354</v>
      </c>
      <c r="C379" s="26" t="s">
        <v>2355</v>
      </c>
      <c r="D379" s="26" t="s">
        <v>117</v>
      </c>
      <c r="E379" s="26" t="s">
        <v>315</v>
      </c>
      <c r="F379" s="26" t="s">
        <v>30</v>
      </c>
      <c r="G379" s="26" t="s">
        <v>30</v>
      </c>
      <c r="J379" s="26" t="s">
        <v>90</v>
      </c>
      <c r="L379" s="26" t="s">
        <v>91</v>
      </c>
      <c r="N379" s="28">
        <v>45992</v>
      </c>
      <c r="O379" s="28" t="s">
        <v>2346</v>
      </c>
      <c r="P379" s="26">
        <v>12</v>
      </c>
      <c r="Q379" s="35" t="s">
        <v>34</v>
      </c>
      <c r="R379" s="29">
        <v>20795135089.560001</v>
      </c>
      <c r="S379" s="26"/>
      <c r="T379" s="29">
        <v>2000000000</v>
      </c>
      <c r="U379" s="36">
        <f>T379/R379</f>
        <v>9.6176340830989887E-2</v>
      </c>
      <c r="X379" s="26" t="s">
        <v>848</v>
      </c>
    </row>
    <row r="380" spans="1:24" x14ac:dyDescent="0.35">
      <c r="A380" s="26" t="s">
        <v>2341</v>
      </c>
      <c r="B380" s="32" t="s">
        <v>2356</v>
      </c>
      <c r="C380" s="26" t="s">
        <v>2357</v>
      </c>
      <c r="D380" s="26" t="s">
        <v>28</v>
      </c>
      <c r="E380" s="26" t="s">
        <v>315</v>
      </c>
      <c r="F380" s="26" t="s">
        <v>30</v>
      </c>
      <c r="G380" s="26" t="s">
        <v>30</v>
      </c>
      <c r="J380" s="26" t="s">
        <v>90</v>
      </c>
      <c r="L380" s="26" t="s">
        <v>91</v>
      </c>
      <c r="N380" s="28">
        <v>45992</v>
      </c>
      <c r="O380" s="28" t="s">
        <v>2346</v>
      </c>
      <c r="P380" s="26">
        <v>12</v>
      </c>
      <c r="Q380" s="35" t="s">
        <v>34</v>
      </c>
      <c r="R380" s="29">
        <v>500000000</v>
      </c>
      <c r="S380" s="26"/>
      <c r="T380" s="29">
        <v>100000000</v>
      </c>
      <c r="U380" s="36">
        <f>T380/R380</f>
        <v>0.2</v>
      </c>
      <c r="X380" s="26" t="s">
        <v>848</v>
      </c>
    </row>
    <row r="381" spans="1:24" x14ac:dyDescent="0.35">
      <c r="A381" s="26" t="s">
        <v>2342</v>
      </c>
      <c r="B381" s="32" t="s">
        <v>798</v>
      </c>
      <c r="C381" s="26" t="s">
        <v>799</v>
      </c>
      <c r="D381" s="26" t="s">
        <v>800</v>
      </c>
      <c r="E381" s="26" t="s">
        <v>315</v>
      </c>
      <c r="F381" s="26" t="s">
        <v>30</v>
      </c>
      <c r="G381" s="26" t="s">
        <v>30</v>
      </c>
      <c r="J381" s="26" t="s">
        <v>90</v>
      </c>
      <c r="L381" s="26" t="s">
        <v>91</v>
      </c>
      <c r="N381" s="28">
        <v>45261</v>
      </c>
      <c r="O381" s="28">
        <v>45473</v>
      </c>
      <c r="P381" s="26">
        <v>28</v>
      </c>
      <c r="Q381" s="35" t="s">
        <v>49</v>
      </c>
      <c r="R381" s="29">
        <v>98048000</v>
      </c>
      <c r="S381" s="26"/>
      <c r="T381" s="29">
        <v>0</v>
      </c>
      <c r="U381" s="36">
        <v>0</v>
      </c>
      <c r="X381" s="26" t="s">
        <v>318</v>
      </c>
    </row>
    <row r="382" spans="1:24" x14ac:dyDescent="0.35">
      <c r="A382" s="26" t="s">
        <v>2343</v>
      </c>
      <c r="B382" s="32" t="s">
        <v>802</v>
      </c>
      <c r="C382" s="26" t="s">
        <v>802</v>
      </c>
      <c r="D382" s="26" t="s">
        <v>803</v>
      </c>
      <c r="E382" s="26" t="s">
        <v>315</v>
      </c>
      <c r="F382" s="26" t="s">
        <v>30</v>
      </c>
      <c r="G382" s="26" t="s">
        <v>30</v>
      </c>
      <c r="J382" s="26" t="s">
        <v>90</v>
      </c>
      <c r="L382" s="26" t="s">
        <v>91</v>
      </c>
      <c r="N382" s="28">
        <v>45273</v>
      </c>
      <c r="O382" s="28">
        <v>45517</v>
      </c>
      <c r="P382" s="26">
        <v>36</v>
      </c>
      <c r="Q382" s="35" t="s">
        <v>49</v>
      </c>
      <c r="R382" s="29">
        <v>2000000000</v>
      </c>
      <c r="S382" s="26"/>
      <c r="T382" s="29">
        <v>0</v>
      </c>
      <c r="U382" s="36">
        <v>0</v>
      </c>
      <c r="X382" s="26" t="s">
        <v>318</v>
      </c>
    </row>
    <row r="383" spans="1:24" x14ac:dyDescent="0.35">
      <c r="A383" s="26" t="s">
        <v>795</v>
      </c>
      <c r="B383" s="32" t="s">
        <v>805</v>
      </c>
      <c r="C383" s="26" t="s">
        <v>805</v>
      </c>
      <c r="D383" s="26" t="s">
        <v>806</v>
      </c>
      <c r="E383" s="26" t="s">
        <v>315</v>
      </c>
      <c r="F383" s="26" t="s">
        <v>30</v>
      </c>
      <c r="G383" s="26" t="s">
        <v>30</v>
      </c>
      <c r="J383" s="26" t="s">
        <v>90</v>
      </c>
      <c r="L383" s="26" t="s">
        <v>32</v>
      </c>
      <c r="N383" s="28">
        <v>45392</v>
      </c>
      <c r="O383" s="28">
        <v>45587</v>
      </c>
      <c r="P383" s="26">
        <v>32</v>
      </c>
      <c r="Q383" s="35" t="s">
        <v>49</v>
      </c>
      <c r="R383" s="29">
        <v>178215000</v>
      </c>
      <c r="S383" s="26"/>
      <c r="T383" s="29">
        <v>0</v>
      </c>
      <c r="U383" s="36">
        <v>0</v>
      </c>
      <c r="X383" s="26" t="s">
        <v>318</v>
      </c>
    </row>
    <row r="384" spans="1:24" x14ac:dyDescent="0.35">
      <c r="A384" s="26" t="s">
        <v>797</v>
      </c>
      <c r="B384" s="32" t="s">
        <v>808</v>
      </c>
      <c r="C384" s="26" t="s">
        <v>809</v>
      </c>
      <c r="D384" s="26" t="s">
        <v>285</v>
      </c>
      <c r="E384" s="26" t="s">
        <v>315</v>
      </c>
      <c r="F384" s="26" t="s">
        <v>30</v>
      </c>
      <c r="G384" s="26" t="s">
        <v>30</v>
      </c>
      <c r="J384" s="26" t="s">
        <v>90</v>
      </c>
      <c r="L384" s="26" t="s">
        <v>91</v>
      </c>
      <c r="N384" s="28">
        <v>45225</v>
      </c>
      <c r="O384" s="28">
        <v>45434</v>
      </c>
      <c r="P384" s="26">
        <v>36</v>
      </c>
      <c r="Q384" s="35" t="s">
        <v>34</v>
      </c>
      <c r="R384" s="29">
        <v>6000000000</v>
      </c>
      <c r="S384" s="26"/>
      <c r="T384" s="29">
        <v>2996327825.8699999</v>
      </c>
      <c r="U384" s="36">
        <v>0.95</v>
      </c>
      <c r="X384" s="26" t="s">
        <v>318</v>
      </c>
    </row>
    <row r="385" spans="1:24" x14ac:dyDescent="0.35">
      <c r="A385" s="26" t="s">
        <v>801</v>
      </c>
      <c r="B385" s="32" t="s">
        <v>811</v>
      </c>
      <c r="C385" s="26" t="s">
        <v>812</v>
      </c>
      <c r="D385" s="26" t="s">
        <v>28</v>
      </c>
      <c r="E385" s="26" t="s">
        <v>315</v>
      </c>
      <c r="F385" s="26" t="s">
        <v>30</v>
      </c>
      <c r="G385" s="26" t="s">
        <v>30</v>
      </c>
      <c r="J385" s="26" t="s">
        <v>90</v>
      </c>
      <c r="L385" s="26" t="s">
        <v>91</v>
      </c>
      <c r="N385" s="28">
        <v>45280</v>
      </c>
      <c r="O385" s="28">
        <v>45427</v>
      </c>
      <c r="P385" s="26">
        <v>32</v>
      </c>
      <c r="Q385" s="35" t="s">
        <v>49</v>
      </c>
      <c r="R385" s="29">
        <v>600000000</v>
      </c>
      <c r="S385" s="26"/>
      <c r="T385" s="29">
        <v>0</v>
      </c>
      <c r="U385" s="36">
        <v>0</v>
      </c>
      <c r="X385" s="26" t="s">
        <v>50</v>
      </c>
    </row>
    <row r="386" spans="1:24" x14ac:dyDescent="0.35">
      <c r="A386" s="26" t="s">
        <v>2380</v>
      </c>
      <c r="B386" s="32" t="s">
        <v>814</v>
      </c>
      <c r="C386" s="26" t="s">
        <v>815</v>
      </c>
      <c r="D386" s="26" t="s">
        <v>28</v>
      </c>
      <c r="E386" s="26" t="s">
        <v>315</v>
      </c>
      <c r="F386" s="26" t="s">
        <v>30</v>
      </c>
      <c r="G386" s="26" t="s">
        <v>30</v>
      </c>
      <c r="J386" s="26" t="s">
        <v>90</v>
      </c>
      <c r="L386" s="26" t="s">
        <v>91</v>
      </c>
      <c r="N386" s="28">
        <v>45252</v>
      </c>
      <c r="O386" s="28">
        <v>45434</v>
      </c>
      <c r="P386" s="26">
        <v>30</v>
      </c>
      <c r="Q386" s="35" t="s">
        <v>49</v>
      </c>
      <c r="R386" s="29">
        <v>272500000</v>
      </c>
      <c r="S386" s="26"/>
      <c r="T386" s="29">
        <v>0</v>
      </c>
      <c r="U386" s="36">
        <v>0</v>
      </c>
      <c r="X386" s="26" t="s">
        <v>318</v>
      </c>
    </row>
    <row r="387" spans="1:24" x14ac:dyDescent="0.35">
      <c r="A387" s="26" t="s">
        <v>804</v>
      </c>
      <c r="B387" s="32" t="s">
        <v>817</v>
      </c>
      <c r="C387" s="26" t="s">
        <v>817</v>
      </c>
      <c r="D387" s="26" t="s">
        <v>28</v>
      </c>
      <c r="E387" s="26" t="s">
        <v>315</v>
      </c>
      <c r="F387" s="26" t="s">
        <v>30</v>
      </c>
      <c r="G387" s="26" t="s">
        <v>30</v>
      </c>
      <c r="J387" s="26" t="s">
        <v>90</v>
      </c>
      <c r="L387" s="26" t="s">
        <v>32</v>
      </c>
      <c r="N387" s="28">
        <v>45280</v>
      </c>
      <c r="O387" s="28">
        <v>45454</v>
      </c>
      <c r="P387" s="26">
        <v>26</v>
      </c>
      <c r="Q387" s="35" t="s">
        <v>49</v>
      </c>
      <c r="R387" s="29">
        <v>109000000</v>
      </c>
      <c r="S387" s="26"/>
      <c r="T387" s="29">
        <v>0</v>
      </c>
      <c r="U387" s="36">
        <v>0</v>
      </c>
      <c r="X387" s="26" t="s">
        <v>318</v>
      </c>
    </row>
    <row r="388" spans="1:24" x14ac:dyDescent="0.35">
      <c r="A388" s="26" t="s">
        <v>2381</v>
      </c>
      <c r="B388" s="32" t="s">
        <v>819</v>
      </c>
      <c r="C388" s="26" t="s">
        <v>820</v>
      </c>
      <c r="D388" s="26" t="s">
        <v>28</v>
      </c>
      <c r="E388" s="26" t="s">
        <v>315</v>
      </c>
      <c r="F388" s="26" t="s">
        <v>30</v>
      </c>
      <c r="G388" s="26" t="s">
        <v>30</v>
      </c>
      <c r="J388" s="26" t="s">
        <v>90</v>
      </c>
      <c r="L388" s="26" t="s">
        <v>91</v>
      </c>
      <c r="N388" s="28">
        <v>45251</v>
      </c>
      <c r="O388" s="28">
        <v>45497</v>
      </c>
      <c r="P388" s="26">
        <v>33</v>
      </c>
      <c r="Q388" s="35" t="s">
        <v>49</v>
      </c>
      <c r="R388" s="29">
        <v>218000000</v>
      </c>
      <c r="S388" s="26"/>
      <c r="T388" s="29">
        <v>0</v>
      </c>
      <c r="U388" s="36">
        <v>0</v>
      </c>
      <c r="X388" s="26" t="s">
        <v>50</v>
      </c>
    </row>
    <row r="389" spans="1:24" x14ac:dyDescent="0.35">
      <c r="A389" s="26" t="s">
        <v>2382</v>
      </c>
      <c r="B389" s="32" t="s">
        <v>822</v>
      </c>
      <c r="C389" s="26" t="s">
        <v>823</v>
      </c>
      <c r="D389" s="26" t="s">
        <v>77</v>
      </c>
      <c r="E389" s="26" t="s">
        <v>315</v>
      </c>
      <c r="F389" s="26" t="s">
        <v>30</v>
      </c>
      <c r="G389" s="26" t="s">
        <v>30</v>
      </c>
      <c r="J389" s="26" t="s">
        <v>90</v>
      </c>
      <c r="L389" s="26" t="s">
        <v>32</v>
      </c>
      <c r="N389" s="28">
        <v>45261</v>
      </c>
      <c r="O389" s="28">
        <v>45442</v>
      </c>
      <c r="P389" s="26">
        <v>24</v>
      </c>
      <c r="Q389" s="35" t="s">
        <v>49</v>
      </c>
      <c r="R389" s="29">
        <v>450000000</v>
      </c>
      <c r="S389" s="26"/>
      <c r="T389" s="29">
        <v>0</v>
      </c>
      <c r="U389" s="36">
        <v>0</v>
      </c>
      <c r="X389" s="26" t="s">
        <v>318</v>
      </c>
    </row>
    <row r="390" spans="1:24" x14ac:dyDescent="0.35">
      <c r="A390" s="26" t="s">
        <v>807</v>
      </c>
      <c r="B390" s="32" t="s">
        <v>825</v>
      </c>
      <c r="C390" s="26" t="s">
        <v>825</v>
      </c>
      <c r="D390" s="26" t="s">
        <v>95</v>
      </c>
      <c r="E390" s="26" t="s">
        <v>315</v>
      </c>
      <c r="F390" s="26" t="s">
        <v>30</v>
      </c>
      <c r="G390" s="26" t="s">
        <v>30</v>
      </c>
      <c r="J390" s="26" t="s">
        <v>146</v>
      </c>
      <c r="L390" s="26" t="s">
        <v>32</v>
      </c>
      <c r="N390" s="28">
        <v>45261</v>
      </c>
      <c r="O390" s="28">
        <v>45442</v>
      </c>
      <c r="P390" s="26">
        <v>24</v>
      </c>
      <c r="Q390" s="35" t="s">
        <v>49</v>
      </c>
      <c r="R390" s="29">
        <v>5000000</v>
      </c>
      <c r="S390" s="26"/>
      <c r="T390" s="29">
        <v>0</v>
      </c>
      <c r="U390" s="36">
        <v>0</v>
      </c>
      <c r="X390" s="26" t="s">
        <v>318</v>
      </c>
    </row>
    <row r="391" spans="1:24" x14ac:dyDescent="0.35">
      <c r="A391" s="26" t="s">
        <v>2383</v>
      </c>
      <c r="B391" s="32" t="s">
        <v>827</v>
      </c>
      <c r="C391" s="26" t="s">
        <v>828</v>
      </c>
      <c r="D391" s="26" t="s">
        <v>109</v>
      </c>
      <c r="E391" s="26" t="s">
        <v>315</v>
      </c>
      <c r="F391" s="26" t="s">
        <v>30</v>
      </c>
      <c r="G391" s="26" t="s">
        <v>30</v>
      </c>
      <c r="J391" s="26" t="s">
        <v>90</v>
      </c>
      <c r="L391" s="26" t="s">
        <v>91</v>
      </c>
      <c r="N391" s="28">
        <v>45250</v>
      </c>
      <c r="O391" s="28">
        <v>45535</v>
      </c>
      <c r="P391" s="26">
        <v>38</v>
      </c>
      <c r="Q391" s="35" t="s">
        <v>49</v>
      </c>
      <c r="R391" s="29">
        <v>1000000000</v>
      </c>
      <c r="S391" s="26"/>
      <c r="T391" s="29">
        <v>0</v>
      </c>
      <c r="U391" s="36">
        <v>0</v>
      </c>
      <c r="X391" s="26" t="s">
        <v>318</v>
      </c>
    </row>
    <row r="392" spans="1:24" x14ac:dyDescent="0.35">
      <c r="A392" s="26" t="s">
        <v>810</v>
      </c>
      <c r="B392" s="32" t="s">
        <v>830</v>
      </c>
      <c r="C392" s="26" t="s">
        <v>831</v>
      </c>
      <c r="D392" s="26" t="s">
        <v>229</v>
      </c>
      <c r="E392" s="26" t="s">
        <v>315</v>
      </c>
      <c r="F392" s="26" t="s">
        <v>30</v>
      </c>
      <c r="G392" s="26" t="s">
        <v>30</v>
      </c>
      <c r="J392" s="26" t="s">
        <v>90</v>
      </c>
      <c r="L392" s="26" t="s">
        <v>91</v>
      </c>
      <c r="N392" s="28">
        <v>45261</v>
      </c>
      <c r="O392" s="28">
        <v>45107</v>
      </c>
      <c r="P392" s="26">
        <v>28</v>
      </c>
      <c r="Q392" s="35" t="s">
        <v>49</v>
      </c>
      <c r="R392" s="29">
        <v>1200000000</v>
      </c>
      <c r="S392" s="26"/>
      <c r="T392" s="29">
        <v>0</v>
      </c>
      <c r="U392" s="36">
        <v>0</v>
      </c>
      <c r="X392" s="26" t="s">
        <v>318</v>
      </c>
    </row>
    <row r="393" spans="1:24" x14ac:dyDescent="0.35">
      <c r="A393" s="26" t="s">
        <v>813</v>
      </c>
      <c r="B393" s="32" t="s">
        <v>2543</v>
      </c>
      <c r="C393" s="26" t="s">
        <v>2539</v>
      </c>
      <c r="D393" s="26" t="s">
        <v>833</v>
      </c>
      <c r="E393" s="26" t="s">
        <v>315</v>
      </c>
      <c r="F393" s="26" t="s">
        <v>30</v>
      </c>
      <c r="G393" s="26" t="s">
        <v>30</v>
      </c>
      <c r="J393" s="26" t="s">
        <v>90</v>
      </c>
      <c r="L393" s="26" t="s">
        <v>91</v>
      </c>
      <c r="N393" s="28">
        <v>45992</v>
      </c>
      <c r="O393" s="28">
        <v>46203</v>
      </c>
      <c r="P393" s="26">
        <v>28</v>
      </c>
      <c r="Q393" s="35" t="s">
        <v>34</v>
      </c>
      <c r="R393" s="29">
        <v>35000000000</v>
      </c>
      <c r="S393" s="26"/>
      <c r="T393" s="29">
        <v>21000000000</v>
      </c>
      <c r="U393" s="36">
        <f>T393/R393</f>
        <v>0.6</v>
      </c>
      <c r="X393" s="26" t="s">
        <v>318</v>
      </c>
    </row>
    <row r="394" spans="1:24" x14ac:dyDescent="0.35">
      <c r="A394" s="26" t="s">
        <v>2384</v>
      </c>
      <c r="B394" s="32" t="s">
        <v>835</v>
      </c>
      <c r="C394" s="26" t="s">
        <v>836</v>
      </c>
      <c r="D394" s="26" t="s">
        <v>303</v>
      </c>
      <c r="E394" s="26" t="s">
        <v>315</v>
      </c>
      <c r="F394" s="26" t="s">
        <v>30</v>
      </c>
      <c r="G394" s="26" t="s">
        <v>30</v>
      </c>
      <c r="J394" s="26" t="s">
        <v>90</v>
      </c>
      <c r="L394" s="26" t="s">
        <v>91</v>
      </c>
      <c r="N394" s="28">
        <v>45261</v>
      </c>
      <c r="O394" s="28">
        <v>45535</v>
      </c>
      <c r="P394" s="26">
        <v>38</v>
      </c>
      <c r="Q394" s="35" t="s">
        <v>49</v>
      </c>
      <c r="R394" s="29">
        <v>1800000000</v>
      </c>
      <c r="S394" s="26"/>
      <c r="T394" s="29">
        <v>0</v>
      </c>
      <c r="U394" s="36">
        <v>0</v>
      </c>
      <c r="X394" s="26" t="s">
        <v>318</v>
      </c>
    </row>
    <row r="395" spans="1:24" x14ac:dyDescent="0.35">
      <c r="A395" s="26" t="s">
        <v>2385</v>
      </c>
      <c r="B395" s="32" t="s">
        <v>838</v>
      </c>
      <c r="C395" s="26" t="s">
        <v>838</v>
      </c>
      <c r="D395" s="26" t="s">
        <v>95</v>
      </c>
      <c r="E395" s="26" t="s">
        <v>315</v>
      </c>
      <c r="F395" s="26" t="s">
        <v>30</v>
      </c>
      <c r="G395" s="26" t="s">
        <v>30</v>
      </c>
      <c r="J395" s="26" t="s">
        <v>90</v>
      </c>
      <c r="L395" s="26" t="s">
        <v>91</v>
      </c>
      <c r="N395" s="28">
        <v>45280</v>
      </c>
      <c r="O395" s="28">
        <v>45524</v>
      </c>
      <c r="P395" s="26">
        <v>37</v>
      </c>
      <c r="Q395" s="35" t="s">
        <v>34</v>
      </c>
      <c r="R395" s="29">
        <v>2172357983.5700002</v>
      </c>
      <c r="S395" s="26"/>
      <c r="T395" s="29">
        <v>350000000</v>
      </c>
      <c r="U395" s="36">
        <f>T395/R395</f>
        <v>0.16111525017843445</v>
      </c>
      <c r="X395" s="26" t="s">
        <v>318</v>
      </c>
    </row>
    <row r="396" spans="1:24" x14ac:dyDescent="0.35">
      <c r="A396" s="26" t="s">
        <v>816</v>
      </c>
      <c r="B396" s="32" t="s">
        <v>840</v>
      </c>
      <c r="C396" s="26" t="s">
        <v>840</v>
      </c>
      <c r="D396" s="26" t="s">
        <v>841</v>
      </c>
      <c r="E396" s="26" t="s">
        <v>315</v>
      </c>
      <c r="F396" s="26" t="s">
        <v>30</v>
      </c>
      <c r="G396" s="26" t="s">
        <v>30</v>
      </c>
      <c r="J396" s="26" t="s">
        <v>90</v>
      </c>
      <c r="L396" s="26" t="s">
        <v>91</v>
      </c>
      <c r="N396" s="28">
        <v>45245</v>
      </c>
      <c r="O396" s="28">
        <v>45463</v>
      </c>
      <c r="P396" s="26">
        <v>30</v>
      </c>
      <c r="Q396" s="35" t="s">
        <v>49</v>
      </c>
      <c r="R396" s="29">
        <v>436000000</v>
      </c>
      <c r="S396" s="26"/>
      <c r="T396" s="29">
        <v>0</v>
      </c>
      <c r="U396" s="36">
        <v>0</v>
      </c>
      <c r="X396" s="26" t="s">
        <v>318</v>
      </c>
    </row>
    <row r="397" spans="1:24" x14ac:dyDescent="0.35">
      <c r="A397" s="26" t="s">
        <v>818</v>
      </c>
      <c r="B397" s="32" t="s">
        <v>843</v>
      </c>
      <c r="C397" s="26" t="s">
        <v>843</v>
      </c>
      <c r="D397" s="26" t="s">
        <v>77</v>
      </c>
      <c r="E397" s="26" t="s">
        <v>315</v>
      </c>
      <c r="F397" s="26" t="s">
        <v>30</v>
      </c>
      <c r="G397" s="26" t="s">
        <v>30</v>
      </c>
      <c r="J397" s="26" t="s">
        <v>90</v>
      </c>
      <c r="L397" s="26" t="s">
        <v>91</v>
      </c>
      <c r="N397" s="28">
        <v>45230</v>
      </c>
      <c r="O397" s="28">
        <v>45489</v>
      </c>
      <c r="P397" s="26">
        <v>36</v>
      </c>
      <c r="Q397" s="35" t="s">
        <v>49</v>
      </c>
      <c r="R397" s="29">
        <v>92650000</v>
      </c>
      <c r="S397" s="26"/>
      <c r="T397" s="29">
        <v>0</v>
      </c>
      <c r="U397" s="36">
        <v>0</v>
      </c>
      <c r="X397" s="26" t="s">
        <v>318</v>
      </c>
    </row>
    <row r="398" spans="1:24" x14ac:dyDescent="0.35">
      <c r="A398" s="26" t="s">
        <v>821</v>
      </c>
      <c r="B398" s="32" t="s">
        <v>845</v>
      </c>
      <c r="C398" s="26" t="s">
        <v>846</v>
      </c>
      <c r="D398" s="26" t="s">
        <v>847</v>
      </c>
      <c r="E398" s="26" t="s">
        <v>315</v>
      </c>
      <c r="F398" s="26" t="s">
        <v>30</v>
      </c>
      <c r="G398" s="26" t="s">
        <v>30</v>
      </c>
      <c r="J398" s="26" t="s">
        <v>90</v>
      </c>
      <c r="L398" s="26" t="s">
        <v>91</v>
      </c>
      <c r="N398" s="28">
        <v>45190</v>
      </c>
      <c r="O398" s="28">
        <v>45556</v>
      </c>
      <c r="P398" s="26">
        <v>56</v>
      </c>
      <c r="Q398" s="35" t="s">
        <v>34</v>
      </c>
      <c r="R398" s="29">
        <v>7000000000</v>
      </c>
      <c r="S398" s="26"/>
      <c r="T398" s="29">
        <v>4000000000</v>
      </c>
      <c r="U398" s="36">
        <v>0.57140000000000002</v>
      </c>
      <c r="X398" s="26" t="s">
        <v>848</v>
      </c>
    </row>
    <row r="399" spans="1:24" x14ac:dyDescent="0.35">
      <c r="A399" s="26" t="s">
        <v>824</v>
      </c>
      <c r="B399" s="32" t="s">
        <v>314</v>
      </c>
      <c r="C399" s="26" t="s">
        <v>314</v>
      </c>
      <c r="D399" s="26" t="s">
        <v>28</v>
      </c>
      <c r="E399" s="26" t="s">
        <v>315</v>
      </c>
      <c r="F399" s="26" t="s">
        <v>30</v>
      </c>
      <c r="G399" s="26" t="s">
        <v>30</v>
      </c>
      <c r="J399" s="26" t="s">
        <v>90</v>
      </c>
      <c r="L399" s="26" t="s">
        <v>91</v>
      </c>
      <c r="N399" s="28">
        <v>45354</v>
      </c>
      <c r="O399" s="28">
        <v>45719</v>
      </c>
      <c r="P399" s="26">
        <v>52</v>
      </c>
      <c r="Q399" s="35" t="s">
        <v>34</v>
      </c>
      <c r="R399" s="29">
        <v>1050000000</v>
      </c>
      <c r="S399" s="26"/>
      <c r="T399" s="29">
        <v>20000000</v>
      </c>
      <c r="U399" s="36">
        <v>0.02</v>
      </c>
      <c r="X399" s="26" t="s">
        <v>50</v>
      </c>
    </row>
    <row r="400" spans="1:24" x14ac:dyDescent="0.35">
      <c r="A400" s="26" t="s">
        <v>826</v>
      </c>
      <c r="B400" s="32" t="s">
        <v>1772</v>
      </c>
      <c r="C400" s="26" t="s">
        <v>1773</v>
      </c>
      <c r="D400" s="26" t="s">
        <v>117</v>
      </c>
      <c r="E400" s="26" t="s">
        <v>315</v>
      </c>
      <c r="F400" s="26" t="s">
        <v>30</v>
      </c>
      <c r="G400" s="26" t="s">
        <v>30</v>
      </c>
      <c r="J400" s="26" t="s">
        <v>90</v>
      </c>
      <c r="L400" s="26" t="s">
        <v>91</v>
      </c>
      <c r="N400" s="28">
        <v>44932</v>
      </c>
      <c r="O400" s="28" t="s">
        <v>1774</v>
      </c>
      <c r="P400" s="26">
        <v>20</v>
      </c>
      <c r="Q400" s="35" t="s">
        <v>211</v>
      </c>
      <c r="R400" s="29">
        <v>35000000</v>
      </c>
      <c r="S400" s="26"/>
      <c r="T400" s="29">
        <v>35000000</v>
      </c>
      <c r="U400" s="36">
        <v>1</v>
      </c>
      <c r="X400" s="26" t="s">
        <v>848</v>
      </c>
    </row>
    <row r="401" spans="1:24" x14ac:dyDescent="0.35">
      <c r="A401" s="26" t="s">
        <v>829</v>
      </c>
      <c r="B401" s="32" t="s">
        <v>317</v>
      </c>
      <c r="C401" s="26" t="s">
        <v>317</v>
      </c>
      <c r="D401" s="26" t="s">
        <v>117</v>
      </c>
      <c r="E401" s="26" t="s">
        <v>315</v>
      </c>
      <c r="F401" s="26" t="s">
        <v>30</v>
      </c>
      <c r="G401" s="26" t="s">
        <v>30</v>
      </c>
      <c r="J401" s="26" t="s">
        <v>90</v>
      </c>
      <c r="L401" s="26" t="s">
        <v>91</v>
      </c>
      <c r="N401" s="28">
        <v>45355</v>
      </c>
      <c r="O401" s="28">
        <v>45720</v>
      </c>
      <c r="P401" s="26">
        <v>52</v>
      </c>
      <c r="Q401" s="35" t="s">
        <v>49</v>
      </c>
      <c r="R401" s="29">
        <v>50000000</v>
      </c>
      <c r="S401" s="26"/>
      <c r="T401" s="29">
        <v>0</v>
      </c>
      <c r="U401" s="36">
        <v>0</v>
      </c>
      <c r="X401" s="26" t="s">
        <v>318</v>
      </c>
    </row>
    <row r="402" spans="1:24" x14ac:dyDescent="0.35">
      <c r="A402" s="26" t="s">
        <v>832</v>
      </c>
      <c r="B402" s="32" t="s">
        <v>320</v>
      </c>
      <c r="C402" s="26" t="s">
        <v>320</v>
      </c>
      <c r="D402" s="26" t="s">
        <v>321</v>
      </c>
      <c r="E402" s="26" t="s">
        <v>315</v>
      </c>
      <c r="F402" s="26" t="s">
        <v>30</v>
      </c>
      <c r="G402" s="26" t="s">
        <v>30</v>
      </c>
      <c r="J402" s="26" t="s">
        <v>90</v>
      </c>
      <c r="L402" s="26" t="s">
        <v>91</v>
      </c>
      <c r="N402" s="28">
        <v>45356</v>
      </c>
      <c r="O402" s="28">
        <v>45721</v>
      </c>
      <c r="P402" s="26">
        <v>52</v>
      </c>
      <c r="Q402" s="35" t="s">
        <v>49</v>
      </c>
      <c r="R402" s="29">
        <v>250000000</v>
      </c>
      <c r="S402" s="26"/>
      <c r="T402" s="29">
        <v>0</v>
      </c>
      <c r="U402" s="36">
        <v>0</v>
      </c>
      <c r="X402" s="26" t="s">
        <v>318</v>
      </c>
    </row>
    <row r="403" spans="1:24" x14ac:dyDescent="0.35">
      <c r="A403" s="26" t="s">
        <v>834</v>
      </c>
      <c r="B403" s="32" t="s">
        <v>323</v>
      </c>
      <c r="C403" s="26" t="s">
        <v>323</v>
      </c>
      <c r="D403" s="26" t="s">
        <v>117</v>
      </c>
      <c r="E403" s="26" t="s">
        <v>315</v>
      </c>
      <c r="F403" s="26" t="s">
        <v>30</v>
      </c>
      <c r="G403" s="26" t="s">
        <v>30</v>
      </c>
      <c r="J403" s="26" t="s">
        <v>90</v>
      </c>
      <c r="L403" s="26" t="s">
        <v>91</v>
      </c>
      <c r="N403" s="28">
        <v>45357</v>
      </c>
      <c r="O403" s="28">
        <v>45722</v>
      </c>
      <c r="P403" s="26">
        <v>52</v>
      </c>
      <c r="Q403" s="35" t="s">
        <v>49</v>
      </c>
      <c r="R403" s="29">
        <v>20000000</v>
      </c>
      <c r="S403" s="26"/>
      <c r="T403" s="29">
        <v>0</v>
      </c>
      <c r="U403" s="36">
        <v>0</v>
      </c>
      <c r="X403" s="26" t="s">
        <v>324</v>
      </c>
    </row>
    <row r="404" spans="1:24" x14ac:dyDescent="0.35">
      <c r="A404" s="26" t="s">
        <v>837</v>
      </c>
      <c r="B404" s="32" t="s">
        <v>326</v>
      </c>
      <c r="C404" s="26" t="s">
        <v>326</v>
      </c>
      <c r="D404" s="26" t="s">
        <v>117</v>
      </c>
      <c r="E404" s="26" t="s">
        <v>315</v>
      </c>
      <c r="F404" s="26" t="s">
        <v>30</v>
      </c>
      <c r="G404" s="26" t="s">
        <v>30</v>
      </c>
      <c r="J404" s="26" t="s">
        <v>90</v>
      </c>
      <c r="L404" s="26" t="s">
        <v>91</v>
      </c>
      <c r="N404" s="28">
        <v>45358</v>
      </c>
      <c r="O404" s="28">
        <v>45723</v>
      </c>
      <c r="P404" s="26">
        <v>52</v>
      </c>
      <c r="Q404" s="35" t="s">
        <v>49</v>
      </c>
      <c r="R404" s="29">
        <v>218000000</v>
      </c>
      <c r="S404" s="26"/>
      <c r="T404" s="29">
        <v>0</v>
      </c>
      <c r="U404" s="36">
        <v>0</v>
      </c>
      <c r="X404" s="26" t="s">
        <v>318</v>
      </c>
    </row>
    <row r="405" spans="1:24" x14ac:dyDescent="0.35">
      <c r="A405" s="26" t="s">
        <v>839</v>
      </c>
      <c r="B405" s="32" t="s">
        <v>328</v>
      </c>
      <c r="C405" s="26" t="s">
        <v>2353</v>
      </c>
      <c r="D405" s="26" t="s">
        <v>28</v>
      </c>
      <c r="E405" s="26" t="s">
        <v>315</v>
      </c>
      <c r="F405" s="26" t="s">
        <v>30</v>
      </c>
      <c r="G405" s="26" t="s">
        <v>30</v>
      </c>
      <c r="J405" s="26" t="s">
        <v>90</v>
      </c>
      <c r="L405" s="26" t="s">
        <v>40</v>
      </c>
      <c r="N405" s="28">
        <v>45359</v>
      </c>
      <c r="O405" s="28">
        <v>45724</v>
      </c>
      <c r="P405" s="26">
        <v>52</v>
      </c>
      <c r="Q405" s="35" t="s">
        <v>34</v>
      </c>
      <c r="R405" s="29">
        <v>500000000</v>
      </c>
      <c r="S405" s="26"/>
      <c r="T405" s="29">
        <v>100000000</v>
      </c>
      <c r="U405" s="36">
        <f>T405/R405</f>
        <v>0.2</v>
      </c>
      <c r="X405" s="26" t="s">
        <v>318</v>
      </c>
    </row>
    <row r="406" spans="1:24" x14ac:dyDescent="0.35">
      <c r="A406" s="26" t="s">
        <v>842</v>
      </c>
      <c r="B406" s="32" t="s">
        <v>330</v>
      </c>
      <c r="C406" s="26" t="s">
        <v>330</v>
      </c>
      <c r="D406" s="26" t="s">
        <v>28</v>
      </c>
      <c r="E406" s="26" t="s">
        <v>315</v>
      </c>
      <c r="F406" s="26" t="s">
        <v>30</v>
      </c>
      <c r="G406" s="26" t="s">
        <v>30</v>
      </c>
      <c r="J406" s="26" t="s">
        <v>90</v>
      </c>
      <c r="L406" s="26" t="s">
        <v>91</v>
      </c>
      <c r="N406" s="28">
        <v>45360</v>
      </c>
      <c r="O406" s="28">
        <v>45725</v>
      </c>
      <c r="P406" s="26">
        <v>52</v>
      </c>
      <c r="Q406" s="35" t="s">
        <v>49</v>
      </c>
      <c r="R406" s="29">
        <v>15000000</v>
      </c>
      <c r="S406" s="26"/>
      <c r="T406" s="29">
        <v>0</v>
      </c>
      <c r="U406" s="36">
        <v>0</v>
      </c>
      <c r="X406" s="26" t="s">
        <v>67</v>
      </c>
    </row>
    <row r="407" spans="1:24" x14ac:dyDescent="0.35">
      <c r="A407" s="26" t="s">
        <v>844</v>
      </c>
      <c r="B407" s="32" t="s">
        <v>332</v>
      </c>
      <c r="C407" s="26" t="s">
        <v>332</v>
      </c>
      <c r="D407" s="26" t="s">
        <v>28</v>
      </c>
      <c r="E407" s="26" t="s">
        <v>315</v>
      </c>
      <c r="F407" s="26" t="s">
        <v>30</v>
      </c>
      <c r="G407" s="26" t="s">
        <v>30</v>
      </c>
      <c r="J407" s="26" t="s">
        <v>90</v>
      </c>
      <c r="L407" s="26" t="s">
        <v>91</v>
      </c>
      <c r="N407" s="28">
        <v>45361</v>
      </c>
      <c r="O407" s="28">
        <v>45726</v>
      </c>
      <c r="P407" s="26">
        <v>52</v>
      </c>
      <c r="Q407" s="35" t="s">
        <v>49</v>
      </c>
      <c r="R407" s="29">
        <v>5000000</v>
      </c>
      <c r="S407" s="26"/>
      <c r="T407" s="29">
        <v>0</v>
      </c>
      <c r="U407" s="36">
        <v>0</v>
      </c>
      <c r="X407" s="26" t="s">
        <v>67</v>
      </c>
    </row>
    <row r="408" spans="1:24" x14ac:dyDescent="0.35">
      <c r="A408" s="26" t="s">
        <v>313</v>
      </c>
      <c r="B408" s="32" t="s">
        <v>334</v>
      </c>
      <c r="C408" s="26" t="s">
        <v>334</v>
      </c>
      <c r="D408" s="26" t="s">
        <v>117</v>
      </c>
      <c r="E408" s="26" t="s">
        <v>315</v>
      </c>
      <c r="F408" s="26" t="s">
        <v>30</v>
      </c>
      <c r="G408" s="26" t="s">
        <v>30</v>
      </c>
      <c r="J408" s="26" t="s">
        <v>90</v>
      </c>
      <c r="L408" s="26" t="s">
        <v>91</v>
      </c>
      <c r="N408" s="28">
        <v>45362</v>
      </c>
      <c r="O408" s="28">
        <v>45727</v>
      </c>
      <c r="P408" s="26">
        <v>52</v>
      </c>
      <c r="Q408" s="35" t="s">
        <v>49</v>
      </c>
      <c r="R408" s="29">
        <v>70000000</v>
      </c>
      <c r="S408" s="26"/>
      <c r="T408" s="29">
        <v>0</v>
      </c>
      <c r="U408" s="36">
        <v>0</v>
      </c>
      <c r="X408" s="26" t="s">
        <v>50</v>
      </c>
    </row>
    <row r="409" spans="1:24" x14ac:dyDescent="0.35">
      <c r="A409" s="26" t="s">
        <v>316</v>
      </c>
      <c r="B409" s="32" t="s">
        <v>336</v>
      </c>
      <c r="C409" s="26" t="s">
        <v>336</v>
      </c>
      <c r="D409" s="26" t="s">
        <v>117</v>
      </c>
      <c r="E409" s="26" t="s">
        <v>315</v>
      </c>
      <c r="F409" s="26" t="s">
        <v>30</v>
      </c>
      <c r="G409" s="26" t="s">
        <v>30</v>
      </c>
      <c r="J409" s="26" t="s">
        <v>90</v>
      </c>
      <c r="L409" s="26" t="s">
        <v>91</v>
      </c>
      <c r="N409" s="28">
        <v>45363</v>
      </c>
      <c r="O409" s="28">
        <v>45728</v>
      </c>
      <c r="P409" s="26">
        <v>52</v>
      </c>
      <c r="Q409" s="35" t="s">
        <v>49</v>
      </c>
      <c r="R409" s="29">
        <v>20000000</v>
      </c>
      <c r="S409" s="26"/>
      <c r="T409" s="29">
        <v>0</v>
      </c>
      <c r="U409" s="36">
        <v>0</v>
      </c>
      <c r="X409" s="26" t="s">
        <v>50</v>
      </c>
    </row>
    <row r="410" spans="1:24" x14ac:dyDescent="0.35">
      <c r="A410" s="26" t="s">
        <v>319</v>
      </c>
      <c r="B410" s="32" t="s">
        <v>338</v>
      </c>
      <c r="C410" s="26" t="s">
        <v>338</v>
      </c>
      <c r="D410" s="26" t="s">
        <v>117</v>
      </c>
      <c r="E410" s="26" t="s">
        <v>315</v>
      </c>
      <c r="F410" s="26" t="s">
        <v>30</v>
      </c>
      <c r="G410" s="26" t="s">
        <v>30</v>
      </c>
      <c r="J410" s="26" t="s">
        <v>90</v>
      </c>
      <c r="L410" s="26" t="s">
        <v>91</v>
      </c>
      <c r="N410" s="28">
        <v>45364</v>
      </c>
      <c r="O410" s="28">
        <v>45729</v>
      </c>
      <c r="P410" s="26">
        <v>52</v>
      </c>
      <c r="Q410" s="35" t="s">
        <v>49</v>
      </c>
      <c r="R410" s="29">
        <v>1000000000</v>
      </c>
      <c r="S410" s="26"/>
      <c r="T410" s="29">
        <v>0</v>
      </c>
      <c r="U410" s="36">
        <v>0</v>
      </c>
      <c r="X410" s="26" t="s">
        <v>318</v>
      </c>
    </row>
    <row r="411" spans="1:24" x14ac:dyDescent="0.35">
      <c r="A411" s="26" t="s">
        <v>322</v>
      </c>
      <c r="B411" s="32" t="s">
        <v>340</v>
      </c>
      <c r="C411" s="26" t="s">
        <v>340</v>
      </c>
      <c r="D411" s="26" t="s">
        <v>117</v>
      </c>
      <c r="E411" s="26" t="s">
        <v>315</v>
      </c>
      <c r="F411" s="26" t="s">
        <v>30</v>
      </c>
      <c r="G411" s="26" t="s">
        <v>30</v>
      </c>
      <c r="J411" s="26" t="s">
        <v>90</v>
      </c>
      <c r="L411" s="26" t="s">
        <v>91</v>
      </c>
      <c r="N411" s="28">
        <v>45365</v>
      </c>
      <c r="O411" s="28">
        <v>45730</v>
      </c>
      <c r="P411" s="26">
        <v>52</v>
      </c>
      <c r="Q411" s="35" t="s">
        <v>49</v>
      </c>
      <c r="R411" s="29">
        <v>300000000</v>
      </c>
      <c r="S411" s="26"/>
      <c r="T411" s="29">
        <v>0</v>
      </c>
      <c r="U411" s="36">
        <v>0</v>
      </c>
      <c r="X411" s="26" t="s">
        <v>318</v>
      </c>
    </row>
    <row r="412" spans="1:24" x14ac:dyDescent="0.35">
      <c r="A412" s="26" t="s">
        <v>325</v>
      </c>
      <c r="B412" s="32" t="s">
        <v>342</v>
      </c>
      <c r="C412" s="26" t="s">
        <v>342</v>
      </c>
      <c r="D412" s="26" t="s">
        <v>229</v>
      </c>
      <c r="E412" s="26" t="s">
        <v>315</v>
      </c>
      <c r="F412" s="26" t="s">
        <v>30</v>
      </c>
      <c r="G412" s="26" t="s">
        <v>30</v>
      </c>
      <c r="J412" s="26" t="s">
        <v>90</v>
      </c>
      <c r="L412" s="26" t="s">
        <v>91</v>
      </c>
      <c r="N412" s="28">
        <v>45366</v>
      </c>
      <c r="O412" s="28">
        <v>45731</v>
      </c>
      <c r="P412" s="26">
        <v>52</v>
      </c>
      <c r="Q412" s="35" t="s">
        <v>49</v>
      </c>
      <c r="R412" s="29">
        <v>2000000000</v>
      </c>
      <c r="S412" s="26"/>
      <c r="T412" s="29">
        <v>0</v>
      </c>
      <c r="U412" s="36">
        <v>0</v>
      </c>
      <c r="X412" s="26" t="s">
        <v>318</v>
      </c>
    </row>
    <row r="413" spans="1:24" x14ac:dyDescent="0.35">
      <c r="A413" s="26" t="s">
        <v>327</v>
      </c>
      <c r="B413" s="32" t="s">
        <v>344</v>
      </c>
      <c r="C413" s="26" t="s">
        <v>344</v>
      </c>
      <c r="D413" s="26" t="s">
        <v>28</v>
      </c>
      <c r="E413" s="26" t="s">
        <v>315</v>
      </c>
      <c r="F413" s="26" t="s">
        <v>30</v>
      </c>
      <c r="G413" s="26" t="s">
        <v>30</v>
      </c>
      <c r="J413" s="26" t="s">
        <v>90</v>
      </c>
      <c r="L413" s="26" t="s">
        <v>91</v>
      </c>
      <c r="N413" s="28">
        <v>45367</v>
      </c>
      <c r="O413" s="28">
        <v>45732</v>
      </c>
      <c r="P413" s="26">
        <v>52</v>
      </c>
      <c r="Q413" s="35" t="s">
        <v>49</v>
      </c>
      <c r="R413" s="29">
        <v>50000000</v>
      </c>
      <c r="S413" s="26"/>
      <c r="T413" s="29">
        <v>0</v>
      </c>
      <c r="U413" s="36">
        <v>0</v>
      </c>
      <c r="X413" s="26" t="s">
        <v>318</v>
      </c>
    </row>
    <row r="414" spans="1:24" x14ac:dyDescent="0.35">
      <c r="A414" s="26" t="s">
        <v>329</v>
      </c>
      <c r="B414" s="32" t="s">
        <v>345</v>
      </c>
      <c r="C414" s="26" t="s">
        <v>345</v>
      </c>
      <c r="D414" s="26" t="s">
        <v>117</v>
      </c>
      <c r="E414" s="26" t="s">
        <v>315</v>
      </c>
      <c r="F414" s="26" t="s">
        <v>30</v>
      </c>
      <c r="G414" s="26" t="s">
        <v>30</v>
      </c>
      <c r="J414" s="26" t="s">
        <v>90</v>
      </c>
      <c r="L414" s="26" t="s">
        <v>91</v>
      </c>
      <c r="N414" s="28">
        <v>45368</v>
      </c>
      <c r="O414" s="28">
        <v>45733</v>
      </c>
      <c r="P414" s="26">
        <v>52</v>
      </c>
      <c r="Q414" s="35" t="s">
        <v>49</v>
      </c>
      <c r="R414" s="29">
        <v>10000000</v>
      </c>
      <c r="S414" s="26"/>
      <c r="T414" s="29">
        <v>0</v>
      </c>
      <c r="U414" s="36">
        <v>0</v>
      </c>
      <c r="X414" s="26" t="s">
        <v>324</v>
      </c>
    </row>
    <row r="415" spans="1:24" x14ac:dyDescent="0.35">
      <c r="A415" s="26" t="s">
        <v>331</v>
      </c>
      <c r="B415" s="32" t="s">
        <v>346</v>
      </c>
      <c r="C415" s="26" t="s">
        <v>346</v>
      </c>
      <c r="D415" s="26" t="s">
        <v>117</v>
      </c>
      <c r="E415" s="26" t="s">
        <v>315</v>
      </c>
      <c r="F415" s="26" t="s">
        <v>30</v>
      </c>
      <c r="G415" s="26" t="s">
        <v>30</v>
      </c>
      <c r="J415" s="26" t="s">
        <v>90</v>
      </c>
      <c r="L415" s="26" t="s">
        <v>91</v>
      </c>
      <c r="N415" s="28">
        <v>45369</v>
      </c>
      <c r="O415" s="28">
        <v>45734</v>
      </c>
      <c r="P415" s="26">
        <v>52</v>
      </c>
      <c r="Q415" s="35" t="s">
        <v>49</v>
      </c>
      <c r="R415" s="29">
        <v>50000000</v>
      </c>
      <c r="S415" s="26"/>
      <c r="T415" s="29">
        <v>0</v>
      </c>
      <c r="U415" s="36">
        <v>0</v>
      </c>
      <c r="X415" s="26" t="s">
        <v>318</v>
      </c>
    </row>
    <row r="416" spans="1:24" x14ac:dyDescent="0.35">
      <c r="A416" s="26" t="s">
        <v>333</v>
      </c>
      <c r="B416" s="32" t="s">
        <v>347</v>
      </c>
      <c r="C416" s="26" t="s">
        <v>347</v>
      </c>
      <c r="D416" s="26" t="s">
        <v>28</v>
      </c>
      <c r="E416" s="26" t="s">
        <v>315</v>
      </c>
      <c r="F416" s="26" t="s">
        <v>30</v>
      </c>
      <c r="G416" s="26" t="s">
        <v>30</v>
      </c>
      <c r="J416" s="26" t="s">
        <v>90</v>
      </c>
      <c r="L416" s="26" t="s">
        <v>91</v>
      </c>
      <c r="N416" s="28">
        <v>45370</v>
      </c>
      <c r="O416" s="28">
        <v>45735</v>
      </c>
      <c r="P416" s="26">
        <v>52</v>
      </c>
      <c r="Q416" s="35" t="s">
        <v>49</v>
      </c>
      <c r="R416" s="29">
        <v>50000000</v>
      </c>
      <c r="S416" s="26"/>
      <c r="T416" s="29">
        <v>0</v>
      </c>
      <c r="U416" s="36">
        <v>0</v>
      </c>
      <c r="X416" s="26" t="s">
        <v>318</v>
      </c>
    </row>
    <row r="417" spans="1:24" x14ac:dyDescent="0.35">
      <c r="A417" s="26" t="s">
        <v>335</v>
      </c>
      <c r="B417" s="32" t="s">
        <v>348</v>
      </c>
      <c r="C417" s="26" t="s">
        <v>348</v>
      </c>
      <c r="D417" s="26" t="s">
        <v>28</v>
      </c>
      <c r="E417" s="26" t="s">
        <v>315</v>
      </c>
      <c r="F417" s="26" t="s">
        <v>30</v>
      </c>
      <c r="G417" s="26" t="s">
        <v>30</v>
      </c>
      <c r="J417" s="26" t="s">
        <v>113</v>
      </c>
      <c r="L417" s="26" t="s">
        <v>349</v>
      </c>
      <c r="N417" s="28">
        <v>45371</v>
      </c>
      <c r="O417" s="28">
        <v>45736</v>
      </c>
      <c r="P417" s="26">
        <v>52</v>
      </c>
      <c r="Q417" s="35" t="s">
        <v>49</v>
      </c>
      <c r="R417" s="29">
        <v>10000000</v>
      </c>
      <c r="S417" s="26"/>
      <c r="T417" s="29">
        <v>0</v>
      </c>
      <c r="U417" s="36">
        <v>0</v>
      </c>
      <c r="X417" s="26" t="s">
        <v>318</v>
      </c>
    </row>
    <row r="418" spans="1:24" x14ac:dyDescent="0.35">
      <c r="A418" s="26" t="s">
        <v>337</v>
      </c>
      <c r="B418" s="32" t="s">
        <v>350</v>
      </c>
      <c r="C418" s="26" t="s">
        <v>350</v>
      </c>
      <c r="D418" s="26" t="s">
        <v>95</v>
      </c>
      <c r="E418" s="26" t="s">
        <v>315</v>
      </c>
      <c r="F418" s="26" t="s">
        <v>30</v>
      </c>
      <c r="G418" s="26" t="s">
        <v>30</v>
      </c>
      <c r="J418" s="26" t="s">
        <v>146</v>
      </c>
      <c r="L418" s="26" t="s">
        <v>32</v>
      </c>
      <c r="N418" s="28">
        <v>45372</v>
      </c>
      <c r="O418" s="28">
        <v>45737</v>
      </c>
      <c r="P418" s="26">
        <v>52</v>
      </c>
      <c r="Q418" s="35" t="s">
        <v>49</v>
      </c>
      <c r="R418" s="29">
        <v>10000000</v>
      </c>
      <c r="S418" s="26"/>
      <c r="T418" s="29">
        <v>0</v>
      </c>
      <c r="U418" s="36">
        <v>0</v>
      </c>
      <c r="X418" s="26" t="s">
        <v>318</v>
      </c>
    </row>
    <row r="419" spans="1:24" x14ac:dyDescent="0.35">
      <c r="A419" s="26" t="s">
        <v>339</v>
      </c>
      <c r="B419" s="32" t="s">
        <v>351</v>
      </c>
      <c r="C419" s="26" t="s">
        <v>351</v>
      </c>
      <c r="D419" s="26" t="s">
        <v>28</v>
      </c>
      <c r="E419" s="26" t="s">
        <v>315</v>
      </c>
      <c r="F419" s="26" t="s">
        <v>30</v>
      </c>
      <c r="G419" s="26" t="s">
        <v>30</v>
      </c>
      <c r="J419" s="26" t="s">
        <v>31</v>
      </c>
      <c r="L419" s="26" t="s">
        <v>32</v>
      </c>
      <c r="N419" s="28">
        <v>45373</v>
      </c>
      <c r="O419" s="28">
        <v>45738</v>
      </c>
      <c r="P419" s="26">
        <v>52</v>
      </c>
      <c r="Q419" s="35" t="s">
        <v>49</v>
      </c>
      <c r="R419" s="29">
        <v>446000000</v>
      </c>
      <c r="S419" s="26"/>
      <c r="T419" s="29">
        <v>0</v>
      </c>
      <c r="U419" s="36">
        <v>0</v>
      </c>
      <c r="X419" s="26" t="s">
        <v>351</v>
      </c>
    </row>
    <row r="420" spans="1:24" x14ac:dyDescent="0.35">
      <c r="A420" s="26" t="s">
        <v>341</v>
      </c>
      <c r="B420" s="32" t="s">
        <v>2386</v>
      </c>
      <c r="C420" s="26" t="s">
        <v>2386</v>
      </c>
      <c r="D420" s="26" t="s">
        <v>297</v>
      </c>
      <c r="E420" s="26" t="s">
        <v>315</v>
      </c>
      <c r="F420" s="26" t="s">
        <v>30</v>
      </c>
      <c r="G420" s="26" t="s">
        <v>30</v>
      </c>
      <c r="J420" s="26" t="s">
        <v>90</v>
      </c>
      <c r="L420" s="26" t="s">
        <v>91</v>
      </c>
      <c r="N420" s="28">
        <v>46023</v>
      </c>
      <c r="O420" s="28">
        <v>46234</v>
      </c>
      <c r="P420" s="26">
        <v>28</v>
      </c>
      <c r="Q420" s="35" t="s">
        <v>34</v>
      </c>
      <c r="R420" s="29">
        <v>1080246024.45</v>
      </c>
      <c r="S420" s="26"/>
      <c r="T420" s="29">
        <v>300000000</v>
      </c>
      <c r="U420" s="36">
        <f>T420/R420</f>
        <v>0.27771451429570682</v>
      </c>
      <c r="X420" s="26" t="s">
        <v>318</v>
      </c>
    </row>
    <row r="421" spans="1:24" x14ac:dyDescent="0.35">
      <c r="A421" s="26" t="s">
        <v>2620</v>
      </c>
      <c r="B421" s="32" t="s">
        <v>2540</v>
      </c>
      <c r="C421" s="26" t="s">
        <v>2539</v>
      </c>
      <c r="D421" s="26" t="s">
        <v>28</v>
      </c>
      <c r="E421" s="26" t="s">
        <v>315</v>
      </c>
      <c r="F421" s="26" t="s">
        <v>30</v>
      </c>
      <c r="G421" s="26" t="s">
        <v>30</v>
      </c>
      <c r="J421" s="26" t="s">
        <v>31</v>
      </c>
      <c r="L421" s="26" t="s">
        <v>32</v>
      </c>
      <c r="N421" s="28">
        <v>45658</v>
      </c>
      <c r="O421" s="28" t="s">
        <v>41</v>
      </c>
      <c r="P421" s="26">
        <v>54</v>
      </c>
      <c r="Q421" s="35" t="s">
        <v>211</v>
      </c>
      <c r="R421" s="29">
        <v>704774139.19000006</v>
      </c>
      <c r="S421" s="33"/>
      <c r="T421" s="29">
        <v>609756097.55999994</v>
      </c>
      <c r="U421" s="36">
        <v>1</v>
      </c>
      <c r="X421" s="26" t="s">
        <v>318</v>
      </c>
    </row>
    <row r="422" spans="1:24" x14ac:dyDescent="0.35">
      <c r="A422" s="26" t="s">
        <v>343</v>
      </c>
      <c r="B422" s="32" t="s">
        <v>2387</v>
      </c>
      <c r="C422" s="26" t="s">
        <v>2387</v>
      </c>
      <c r="D422" s="26" t="s">
        <v>28</v>
      </c>
      <c r="E422" s="26" t="s">
        <v>315</v>
      </c>
      <c r="F422" s="26" t="s">
        <v>30</v>
      </c>
      <c r="G422" s="26" t="s">
        <v>30</v>
      </c>
      <c r="J422" s="26" t="s">
        <v>90</v>
      </c>
      <c r="L422" s="26" t="s">
        <v>91</v>
      </c>
      <c r="N422" s="28">
        <v>46023</v>
      </c>
      <c r="O422" s="28">
        <v>46234</v>
      </c>
      <c r="P422" s="26">
        <v>28</v>
      </c>
      <c r="Q422" s="35" t="s">
        <v>34</v>
      </c>
      <c r="R422" s="29">
        <v>8484270689.5299997</v>
      </c>
      <c r="S422" s="26"/>
      <c r="T422" s="29">
        <v>2500000000</v>
      </c>
      <c r="U422" s="36">
        <f>T422/R422</f>
        <v>0.29466292289390539</v>
      </c>
      <c r="X422" s="26" t="s">
        <v>318</v>
      </c>
    </row>
    <row r="423" spans="1:24" x14ac:dyDescent="0.35">
      <c r="A423" s="26" t="s">
        <v>2616</v>
      </c>
      <c r="B423" s="32" t="s">
        <v>2541</v>
      </c>
      <c r="C423" s="26" t="s">
        <v>2539</v>
      </c>
      <c r="D423" s="26" t="s">
        <v>28</v>
      </c>
      <c r="E423" s="26" t="s">
        <v>315</v>
      </c>
      <c r="F423" s="26" t="s">
        <v>30</v>
      </c>
      <c r="G423" s="26" t="s">
        <v>30</v>
      </c>
      <c r="J423" s="26" t="s">
        <v>31</v>
      </c>
      <c r="L423" s="26" t="s">
        <v>32</v>
      </c>
      <c r="N423" s="28">
        <v>45658</v>
      </c>
      <c r="O423" s="28" t="s">
        <v>41</v>
      </c>
      <c r="P423" s="26">
        <v>54</v>
      </c>
      <c r="Q423" s="35" t="s">
        <v>211</v>
      </c>
      <c r="R423" s="29">
        <v>135311941.63</v>
      </c>
      <c r="S423" s="33"/>
      <c r="T423" s="29">
        <v>200000000</v>
      </c>
      <c r="U423" s="36">
        <v>1</v>
      </c>
      <c r="X423" s="26" t="s">
        <v>318</v>
      </c>
    </row>
    <row r="424" spans="1:24" x14ac:dyDescent="0.35">
      <c r="A424" s="26" t="s">
        <v>2546</v>
      </c>
      <c r="B424" s="32" t="s">
        <v>2542</v>
      </c>
      <c r="C424" s="26" t="s">
        <v>2539</v>
      </c>
      <c r="D424" s="26" t="s">
        <v>28</v>
      </c>
      <c r="E424" s="26" t="s">
        <v>315</v>
      </c>
      <c r="F424" s="26" t="s">
        <v>30</v>
      </c>
      <c r="G424" s="26" t="s">
        <v>30</v>
      </c>
      <c r="J424" s="26" t="s">
        <v>31</v>
      </c>
      <c r="L424" s="26" t="s">
        <v>32</v>
      </c>
      <c r="N424" s="28">
        <v>45658</v>
      </c>
      <c r="O424" s="28" t="s">
        <v>41</v>
      </c>
      <c r="P424" s="26">
        <v>54</v>
      </c>
      <c r="Q424" s="35" t="s">
        <v>34</v>
      </c>
      <c r="R424" s="29">
        <v>1626688000</v>
      </c>
      <c r="S424" s="33"/>
      <c r="T424" s="29">
        <v>1109756097.5599999</v>
      </c>
      <c r="U424" s="36">
        <v>0.8</v>
      </c>
      <c r="X424" s="26" t="s">
        <v>318</v>
      </c>
    </row>
    <row r="425" spans="1:24" x14ac:dyDescent="0.35">
      <c r="A425" s="26" t="s">
        <v>2547</v>
      </c>
      <c r="B425" s="32" t="s">
        <v>2544</v>
      </c>
      <c r="C425" s="26" t="s">
        <v>2545</v>
      </c>
      <c r="D425" s="26" t="s">
        <v>77</v>
      </c>
      <c r="E425" s="26" t="s">
        <v>315</v>
      </c>
      <c r="F425" s="26" t="s">
        <v>30</v>
      </c>
      <c r="G425" s="26" t="s">
        <v>30</v>
      </c>
      <c r="J425" s="26" t="s">
        <v>31</v>
      </c>
      <c r="L425" s="26" t="s">
        <v>32</v>
      </c>
      <c r="N425" s="28">
        <v>45658</v>
      </c>
      <c r="O425" s="28" t="s">
        <v>41</v>
      </c>
      <c r="P425" s="26">
        <v>54</v>
      </c>
      <c r="Q425" s="35" t="s">
        <v>34</v>
      </c>
      <c r="R425" s="29">
        <v>1887192902.0699999</v>
      </c>
      <c r="S425" s="33"/>
      <c r="T425" s="29">
        <v>800000000</v>
      </c>
      <c r="U425" s="36">
        <v>0.4</v>
      </c>
      <c r="X425" s="26" t="s">
        <v>318</v>
      </c>
    </row>
    <row r="426" spans="1:24" x14ac:dyDescent="0.35">
      <c r="A426" s="26" t="s">
        <v>364</v>
      </c>
      <c r="B426" s="32" t="s">
        <v>365</v>
      </c>
      <c r="C426" s="26" t="s">
        <v>365</v>
      </c>
      <c r="D426" s="26" t="s">
        <v>28</v>
      </c>
      <c r="E426" s="26" t="s">
        <v>366</v>
      </c>
      <c r="F426" s="26" t="s">
        <v>30</v>
      </c>
      <c r="G426" s="26" t="s">
        <v>30</v>
      </c>
      <c r="J426" s="26" t="s">
        <v>31</v>
      </c>
      <c r="L426" s="26" t="s">
        <v>40</v>
      </c>
      <c r="N426" s="28">
        <v>45292</v>
      </c>
      <c r="O426" s="28">
        <v>45657</v>
      </c>
      <c r="P426" s="26">
        <v>52</v>
      </c>
      <c r="Q426" s="35" t="s">
        <v>49</v>
      </c>
      <c r="R426" s="29">
        <v>135000000</v>
      </c>
      <c r="S426" s="26"/>
      <c r="T426" s="29">
        <v>0</v>
      </c>
      <c r="U426" s="36">
        <v>0</v>
      </c>
      <c r="V426" s="26" t="s">
        <v>35</v>
      </c>
      <c r="X426" s="26" t="s">
        <v>367</v>
      </c>
    </row>
    <row r="427" spans="1:24" x14ac:dyDescent="0.35">
      <c r="A427" s="26" t="s">
        <v>368</v>
      </c>
      <c r="B427" s="32" t="s">
        <v>369</v>
      </c>
      <c r="C427" s="26" t="s">
        <v>369</v>
      </c>
      <c r="D427" s="26" t="s">
        <v>28</v>
      </c>
      <c r="E427" s="26" t="s">
        <v>366</v>
      </c>
      <c r="F427" s="26" t="s">
        <v>30</v>
      </c>
      <c r="G427" s="26" t="s">
        <v>30</v>
      </c>
      <c r="J427" s="26" t="s">
        <v>31</v>
      </c>
      <c r="L427" s="26" t="s">
        <v>40</v>
      </c>
      <c r="N427" s="28">
        <v>45292</v>
      </c>
      <c r="O427" s="28">
        <v>45657</v>
      </c>
      <c r="P427" s="26">
        <v>52</v>
      </c>
      <c r="Q427" s="35" t="s">
        <v>49</v>
      </c>
      <c r="R427" s="29">
        <v>28000000</v>
      </c>
      <c r="S427" s="26"/>
      <c r="T427" s="29">
        <v>0</v>
      </c>
      <c r="U427" s="36">
        <v>0</v>
      </c>
      <c r="V427" s="26" t="s">
        <v>35</v>
      </c>
      <c r="X427" s="26" t="s">
        <v>370</v>
      </c>
    </row>
    <row r="428" spans="1:24" x14ac:dyDescent="0.35">
      <c r="A428" s="26" t="s">
        <v>371</v>
      </c>
      <c r="B428" s="32" t="s">
        <v>372</v>
      </c>
      <c r="C428" s="26" t="s">
        <v>372</v>
      </c>
      <c r="D428" s="26" t="s">
        <v>28</v>
      </c>
      <c r="E428" s="26" t="s">
        <v>366</v>
      </c>
      <c r="F428" s="26" t="s">
        <v>30</v>
      </c>
      <c r="G428" s="26" t="s">
        <v>30</v>
      </c>
      <c r="J428" s="26" t="s">
        <v>31</v>
      </c>
      <c r="L428" s="26" t="s">
        <v>40</v>
      </c>
      <c r="N428" s="28">
        <v>45292</v>
      </c>
      <c r="O428" s="28">
        <v>45657</v>
      </c>
      <c r="P428" s="26">
        <v>52</v>
      </c>
      <c r="Q428" s="35" t="s">
        <v>49</v>
      </c>
      <c r="R428" s="29">
        <v>62000000</v>
      </c>
      <c r="S428" s="26"/>
      <c r="T428" s="29">
        <v>0</v>
      </c>
      <c r="U428" s="36">
        <v>0</v>
      </c>
      <c r="V428" s="26" t="s">
        <v>35</v>
      </c>
      <c r="X428" s="26" t="s">
        <v>367</v>
      </c>
    </row>
    <row r="429" spans="1:24" x14ac:dyDescent="0.35">
      <c r="A429" s="26" t="s">
        <v>373</v>
      </c>
      <c r="B429" s="32" t="s">
        <v>374</v>
      </c>
      <c r="C429" s="26" t="s">
        <v>374</v>
      </c>
      <c r="D429" s="26" t="s">
        <v>28</v>
      </c>
      <c r="E429" s="26" t="s">
        <v>366</v>
      </c>
      <c r="F429" s="26" t="s">
        <v>30</v>
      </c>
      <c r="G429" s="26" t="s">
        <v>30</v>
      </c>
      <c r="J429" s="26" t="s">
        <v>31</v>
      </c>
      <c r="L429" s="26" t="s">
        <v>40</v>
      </c>
      <c r="N429" s="28">
        <v>45292</v>
      </c>
      <c r="O429" s="28">
        <v>45657</v>
      </c>
      <c r="P429" s="26">
        <v>52</v>
      </c>
      <c r="Q429" s="35" t="s">
        <v>49</v>
      </c>
      <c r="R429" s="29">
        <v>30000000</v>
      </c>
      <c r="S429" s="26"/>
      <c r="T429" s="29">
        <v>0</v>
      </c>
      <c r="U429" s="36">
        <v>0</v>
      </c>
      <c r="V429" s="26" t="s">
        <v>35</v>
      </c>
      <c r="X429" s="26" t="s">
        <v>367</v>
      </c>
    </row>
    <row r="430" spans="1:24" x14ac:dyDescent="0.35">
      <c r="A430" s="26" t="s">
        <v>375</v>
      </c>
      <c r="B430" s="32" t="s">
        <v>376</v>
      </c>
      <c r="C430" s="26" t="s">
        <v>376</v>
      </c>
      <c r="D430" s="26" t="s">
        <v>28</v>
      </c>
      <c r="E430" s="26" t="s">
        <v>366</v>
      </c>
      <c r="F430" s="26" t="s">
        <v>30</v>
      </c>
      <c r="G430" s="26" t="s">
        <v>30</v>
      </c>
      <c r="J430" s="26" t="s">
        <v>31</v>
      </c>
      <c r="L430" s="26" t="s">
        <v>40</v>
      </c>
      <c r="N430" s="28">
        <v>45292</v>
      </c>
      <c r="O430" s="28">
        <v>45412</v>
      </c>
      <c r="P430" s="26">
        <v>52</v>
      </c>
      <c r="Q430" s="35" t="s">
        <v>49</v>
      </c>
      <c r="R430" s="29">
        <v>15000000</v>
      </c>
      <c r="S430" s="26"/>
      <c r="T430" s="29">
        <v>0</v>
      </c>
      <c r="U430" s="36">
        <v>0</v>
      </c>
      <c r="V430" s="26" t="s">
        <v>35</v>
      </c>
      <c r="X430" s="26" t="s">
        <v>367</v>
      </c>
    </row>
    <row r="431" spans="1:24" x14ac:dyDescent="0.35">
      <c r="A431" s="26" t="s">
        <v>377</v>
      </c>
      <c r="B431" s="32" t="s">
        <v>378</v>
      </c>
      <c r="C431" s="26" t="s">
        <v>378</v>
      </c>
      <c r="D431" s="26" t="s">
        <v>28</v>
      </c>
      <c r="E431" s="26" t="s">
        <v>366</v>
      </c>
      <c r="F431" s="26" t="s">
        <v>30</v>
      </c>
      <c r="G431" s="26" t="s">
        <v>30</v>
      </c>
      <c r="J431" s="26" t="s">
        <v>31</v>
      </c>
      <c r="L431" s="26" t="s">
        <v>40</v>
      </c>
      <c r="N431" s="28">
        <v>45292</v>
      </c>
      <c r="O431" s="28">
        <v>45535</v>
      </c>
      <c r="P431" s="26">
        <v>52</v>
      </c>
      <c r="Q431" s="35" t="s">
        <v>49</v>
      </c>
      <c r="R431" s="29">
        <v>35000000</v>
      </c>
      <c r="S431" s="26"/>
      <c r="T431" s="29">
        <v>0</v>
      </c>
      <c r="U431" s="36">
        <v>0</v>
      </c>
      <c r="V431" s="26" t="s">
        <v>35</v>
      </c>
      <c r="X431" s="26" t="s">
        <v>367</v>
      </c>
    </row>
    <row r="432" spans="1:24" x14ac:dyDescent="0.35">
      <c r="A432" s="26" t="s">
        <v>379</v>
      </c>
      <c r="B432" s="32" t="s">
        <v>380</v>
      </c>
      <c r="C432" s="26" t="s">
        <v>380</v>
      </c>
      <c r="D432" s="26" t="s">
        <v>28</v>
      </c>
      <c r="E432" s="26" t="s">
        <v>366</v>
      </c>
      <c r="F432" s="26" t="s">
        <v>30</v>
      </c>
      <c r="G432" s="26" t="s">
        <v>30</v>
      </c>
      <c r="J432" s="26" t="s">
        <v>31</v>
      </c>
      <c r="L432" s="26" t="s">
        <v>40</v>
      </c>
      <c r="N432" s="28">
        <v>45292</v>
      </c>
      <c r="O432" s="28">
        <v>45657</v>
      </c>
      <c r="P432" s="26">
        <v>52</v>
      </c>
      <c r="Q432" s="35" t="s">
        <v>49</v>
      </c>
      <c r="R432" s="29">
        <v>5000000</v>
      </c>
      <c r="S432" s="26"/>
      <c r="T432" s="29">
        <v>0</v>
      </c>
      <c r="U432" s="36">
        <v>0</v>
      </c>
      <c r="V432" s="26" t="s">
        <v>35</v>
      </c>
      <c r="X432" s="26" t="s">
        <v>367</v>
      </c>
    </row>
    <row r="433" spans="1:24" x14ac:dyDescent="0.35">
      <c r="A433" s="26" t="s">
        <v>381</v>
      </c>
      <c r="B433" s="32" t="s">
        <v>382</v>
      </c>
      <c r="C433" s="26" t="s">
        <v>382</v>
      </c>
      <c r="D433" s="26" t="s">
        <v>28</v>
      </c>
      <c r="E433" s="26" t="s">
        <v>366</v>
      </c>
      <c r="F433" s="26" t="s">
        <v>30</v>
      </c>
      <c r="G433" s="26" t="s">
        <v>30</v>
      </c>
      <c r="J433" s="26" t="s">
        <v>31</v>
      </c>
      <c r="L433" s="26" t="s">
        <v>40</v>
      </c>
      <c r="N433" s="28">
        <v>45292</v>
      </c>
      <c r="O433" s="28">
        <v>45657</v>
      </c>
      <c r="P433" s="26">
        <v>52</v>
      </c>
      <c r="Q433" s="35" t="s">
        <v>49</v>
      </c>
      <c r="R433" s="29">
        <v>50000000</v>
      </c>
      <c r="S433" s="26"/>
      <c r="T433" s="29">
        <v>0</v>
      </c>
      <c r="U433" s="36">
        <v>0</v>
      </c>
      <c r="X433" s="26" t="s">
        <v>367</v>
      </c>
    </row>
    <row r="434" spans="1:24" x14ac:dyDescent="0.35">
      <c r="A434" s="26" t="s">
        <v>383</v>
      </c>
      <c r="B434" s="32" t="s">
        <v>384</v>
      </c>
      <c r="C434" s="26" t="s">
        <v>384</v>
      </c>
      <c r="D434" s="26" t="s">
        <v>28</v>
      </c>
      <c r="E434" s="26" t="s">
        <v>366</v>
      </c>
      <c r="F434" s="26" t="s">
        <v>30</v>
      </c>
      <c r="G434" s="26" t="s">
        <v>30</v>
      </c>
      <c r="J434" s="26" t="s">
        <v>31</v>
      </c>
      <c r="L434" s="26" t="s">
        <v>40</v>
      </c>
      <c r="N434" s="28">
        <v>45292</v>
      </c>
      <c r="O434" s="28">
        <v>45657</v>
      </c>
      <c r="P434" s="26">
        <v>52</v>
      </c>
      <c r="Q434" s="35" t="s">
        <v>49</v>
      </c>
      <c r="R434" s="29">
        <v>70000000</v>
      </c>
      <c r="S434" s="26"/>
      <c r="T434" s="29">
        <v>0</v>
      </c>
      <c r="U434" s="36">
        <v>0</v>
      </c>
      <c r="X434" s="26" t="s">
        <v>367</v>
      </c>
    </row>
    <row r="435" spans="1:24" x14ac:dyDescent="0.35">
      <c r="A435" s="26" t="s">
        <v>385</v>
      </c>
      <c r="B435" s="32" t="s">
        <v>386</v>
      </c>
      <c r="C435" s="26" t="s">
        <v>386</v>
      </c>
      <c r="D435" s="26" t="s">
        <v>28</v>
      </c>
      <c r="E435" s="26" t="s">
        <v>366</v>
      </c>
      <c r="F435" s="26" t="s">
        <v>30</v>
      </c>
      <c r="G435" s="26" t="s">
        <v>30</v>
      </c>
      <c r="J435" s="26" t="s">
        <v>31</v>
      </c>
      <c r="L435" s="26" t="s">
        <v>40</v>
      </c>
      <c r="N435" s="28">
        <v>45292</v>
      </c>
      <c r="O435" s="28">
        <v>45657</v>
      </c>
      <c r="P435" s="26">
        <v>52</v>
      </c>
      <c r="Q435" s="35" t="s">
        <v>49</v>
      </c>
      <c r="R435" s="29">
        <v>144000000</v>
      </c>
      <c r="S435" s="26"/>
      <c r="T435" s="29">
        <v>0</v>
      </c>
      <c r="U435" s="36">
        <v>0</v>
      </c>
      <c r="X435" s="26" t="s">
        <v>367</v>
      </c>
    </row>
    <row r="436" spans="1:24" x14ac:dyDescent="0.35">
      <c r="A436" s="26" t="s">
        <v>387</v>
      </c>
      <c r="B436" s="32" t="s">
        <v>388</v>
      </c>
      <c r="C436" s="26" t="s">
        <v>388</v>
      </c>
      <c r="D436" s="26" t="s">
        <v>28</v>
      </c>
      <c r="E436" s="26" t="s">
        <v>366</v>
      </c>
      <c r="F436" s="26" t="s">
        <v>30</v>
      </c>
      <c r="G436" s="26" t="s">
        <v>30</v>
      </c>
      <c r="J436" s="26" t="s">
        <v>31</v>
      </c>
      <c r="L436" s="26" t="s">
        <v>40</v>
      </c>
      <c r="N436" s="28">
        <v>45292</v>
      </c>
      <c r="O436" s="28">
        <v>45657</v>
      </c>
      <c r="P436" s="26">
        <v>52</v>
      </c>
      <c r="Q436" s="35" t="s">
        <v>49</v>
      </c>
      <c r="R436" s="29">
        <v>9000000</v>
      </c>
      <c r="S436" s="26"/>
      <c r="T436" s="29">
        <v>0</v>
      </c>
      <c r="U436" s="36">
        <v>0</v>
      </c>
      <c r="X436" s="26" t="s">
        <v>367</v>
      </c>
    </row>
    <row r="437" spans="1:24" x14ac:dyDescent="0.35">
      <c r="A437" s="26" t="s">
        <v>389</v>
      </c>
      <c r="B437" s="32" t="s">
        <v>390</v>
      </c>
      <c r="C437" s="26" t="s">
        <v>390</v>
      </c>
      <c r="D437" s="26" t="s">
        <v>28</v>
      </c>
      <c r="E437" s="26" t="s">
        <v>366</v>
      </c>
      <c r="F437" s="26" t="s">
        <v>30</v>
      </c>
      <c r="G437" s="26" t="s">
        <v>30</v>
      </c>
      <c r="J437" s="26" t="s">
        <v>31</v>
      </c>
      <c r="L437" s="26" t="s">
        <v>40</v>
      </c>
      <c r="N437" s="28">
        <v>45292</v>
      </c>
      <c r="O437" s="28">
        <v>45657</v>
      </c>
      <c r="P437" s="26">
        <v>52</v>
      </c>
      <c r="Q437" s="35" t="s">
        <v>49</v>
      </c>
      <c r="R437" s="29">
        <v>27000000</v>
      </c>
      <c r="S437" s="26"/>
      <c r="T437" s="29">
        <v>0</v>
      </c>
      <c r="U437" s="36">
        <v>0</v>
      </c>
      <c r="X437" s="26" t="s">
        <v>367</v>
      </c>
    </row>
    <row r="438" spans="1:24" x14ac:dyDescent="0.35">
      <c r="A438" s="26" t="s">
        <v>391</v>
      </c>
      <c r="B438" s="32" t="s">
        <v>392</v>
      </c>
      <c r="C438" s="26" t="s">
        <v>392</v>
      </c>
      <c r="D438" s="26" t="s">
        <v>28</v>
      </c>
      <c r="E438" s="26" t="s">
        <v>366</v>
      </c>
      <c r="F438" s="26" t="s">
        <v>30</v>
      </c>
      <c r="G438" s="26" t="s">
        <v>30</v>
      </c>
      <c r="J438" s="26" t="s">
        <v>31</v>
      </c>
      <c r="L438" s="26" t="s">
        <v>40</v>
      </c>
      <c r="N438" s="28">
        <v>45292</v>
      </c>
      <c r="O438" s="28">
        <v>45473</v>
      </c>
      <c r="P438" s="26">
        <v>52</v>
      </c>
      <c r="Q438" s="35" t="s">
        <v>49</v>
      </c>
      <c r="R438" s="29">
        <v>9000000</v>
      </c>
      <c r="S438" s="26"/>
      <c r="T438" s="29">
        <v>0</v>
      </c>
      <c r="U438" s="36">
        <v>0</v>
      </c>
      <c r="X438" s="26" t="s">
        <v>367</v>
      </c>
    </row>
    <row r="439" spans="1:24" x14ac:dyDescent="0.35">
      <c r="A439" s="26" t="s">
        <v>393</v>
      </c>
      <c r="B439" s="32" t="s">
        <v>394</v>
      </c>
      <c r="C439" s="26" t="s">
        <v>394</v>
      </c>
      <c r="D439" s="26" t="s">
        <v>28</v>
      </c>
      <c r="E439" s="26" t="s">
        <v>366</v>
      </c>
      <c r="F439" s="26" t="s">
        <v>30</v>
      </c>
      <c r="G439" s="26" t="s">
        <v>30</v>
      </c>
      <c r="J439" s="26" t="s">
        <v>31</v>
      </c>
      <c r="L439" s="26" t="s">
        <v>40</v>
      </c>
      <c r="N439" s="28">
        <v>45292</v>
      </c>
      <c r="O439" s="28">
        <v>45535</v>
      </c>
      <c r="P439" s="26">
        <v>52</v>
      </c>
      <c r="Q439" s="35" t="s">
        <v>49</v>
      </c>
      <c r="R439" s="29">
        <v>3600000</v>
      </c>
      <c r="S439" s="26"/>
      <c r="T439" s="29">
        <v>0</v>
      </c>
      <c r="U439" s="36">
        <v>0</v>
      </c>
      <c r="X439" s="26" t="s">
        <v>367</v>
      </c>
    </row>
    <row r="440" spans="1:24" x14ac:dyDescent="0.35">
      <c r="A440" s="26" t="s">
        <v>395</v>
      </c>
      <c r="B440" s="32" t="s">
        <v>396</v>
      </c>
      <c r="C440" s="26" t="s">
        <v>396</v>
      </c>
      <c r="D440" s="26" t="s">
        <v>28</v>
      </c>
      <c r="E440" s="26" t="s">
        <v>366</v>
      </c>
      <c r="F440" s="26" t="s">
        <v>30</v>
      </c>
      <c r="G440" s="26" t="s">
        <v>30</v>
      </c>
      <c r="J440" s="26" t="s">
        <v>31</v>
      </c>
      <c r="L440" s="26" t="s">
        <v>40</v>
      </c>
      <c r="N440" s="28">
        <v>45292</v>
      </c>
      <c r="O440" s="28">
        <v>45382</v>
      </c>
      <c r="P440" s="26">
        <v>52</v>
      </c>
      <c r="Q440" s="35" t="s">
        <v>49</v>
      </c>
      <c r="R440" s="29">
        <v>90000000</v>
      </c>
      <c r="S440" s="26"/>
      <c r="T440" s="29">
        <v>0</v>
      </c>
      <c r="U440" s="36">
        <v>0</v>
      </c>
      <c r="X440" s="26" t="s">
        <v>367</v>
      </c>
    </row>
    <row r="441" spans="1:24" x14ac:dyDescent="0.35">
      <c r="A441" s="26" t="s">
        <v>397</v>
      </c>
      <c r="B441" s="32" t="s">
        <v>398</v>
      </c>
      <c r="C441" s="26" t="s">
        <v>398</v>
      </c>
      <c r="D441" s="26" t="s">
        <v>28</v>
      </c>
      <c r="E441" s="26" t="s">
        <v>366</v>
      </c>
      <c r="F441" s="26" t="s">
        <v>30</v>
      </c>
      <c r="G441" s="26" t="s">
        <v>30</v>
      </c>
      <c r="J441" s="26" t="s">
        <v>31</v>
      </c>
      <c r="L441" s="26" t="s">
        <v>40</v>
      </c>
      <c r="N441" s="28">
        <v>45292</v>
      </c>
      <c r="O441" s="28">
        <v>45473</v>
      </c>
      <c r="P441" s="26">
        <v>52</v>
      </c>
      <c r="Q441" s="35" t="s">
        <v>49</v>
      </c>
      <c r="R441" s="29">
        <v>270000000</v>
      </c>
      <c r="S441" s="26"/>
      <c r="T441" s="29">
        <v>0</v>
      </c>
      <c r="U441" s="36">
        <v>0</v>
      </c>
      <c r="X441" s="26" t="s">
        <v>367</v>
      </c>
    </row>
    <row r="442" spans="1:24" x14ac:dyDescent="0.35">
      <c r="A442" s="26" t="s">
        <v>399</v>
      </c>
      <c r="B442" s="32" t="s">
        <v>400</v>
      </c>
      <c r="C442" s="26" t="s">
        <v>400</v>
      </c>
      <c r="D442" s="26" t="s">
        <v>28</v>
      </c>
      <c r="E442" s="26" t="s">
        <v>366</v>
      </c>
      <c r="F442" s="26" t="s">
        <v>30</v>
      </c>
      <c r="G442" s="26" t="s">
        <v>30</v>
      </c>
      <c r="J442" s="26" t="s">
        <v>31</v>
      </c>
      <c r="L442" s="26" t="s">
        <v>40</v>
      </c>
      <c r="N442" s="28">
        <v>45292</v>
      </c>
      <c r="O442" s="28">
        <v>45657</v>
      </c>
      <c r="P442" s="26">
        <v>52</v>
      </c>
      <c r="Q442" s="35" t="s">
        <v>49</v>
      </c>
      <c r="R442" s="29">
        <v>36000000</v>
      </c>
      <c r="S442" s="26"/>
      <c r="T442" s="29">
        <v>0</v>
      </c>
      <c r="U442" s="36">
        <v>0</v>
      </c>
      <c r="X442" s="26" t="s">
        <v>367</v>
      </c>
    </row>
    <row r="443" spans="1:24" x14ac:dyDescent="0.35">
      <c r="A443" s="26" t="s">
        <v>401</v>
      </c>
      <c r="B443" s="32" t="s">
        <v>402</v>
      </c>
      <c r="C443" s="26" t="s">
        <v>402</v>
      </c>
      <c r="D443" s="26" t="s">
        <v>28</v>
      </c>
      <c r="E443" s="26" t="s">
        <v>366</v>
      </c>
      <c r="F443" s="26" t="s">
        <v>30</v>
      </c>
      <c r="G443" s="26" t="s">
        <v>30</v>
      </c>
      <c r="J443" s="26" t="s">
        <v>31</v>
      </c>
      <c r="L443" s="26" t="s">
        <v>40</v>
      </c>
      <c r="N443" s="28">
        <v>45292</v>
      </c>
      <c r="O443" s="28">
        <v>45382</v>
      </c>
      <c r="P443" s="26">
        <v>52</v>
      </c>
      <c r="Q443" s="35" t="s">
        <v>49</v>
      </c>
      <c r="R443" s="29">
        <v>180000000</v>
      </c>
      <c r="S443" s="26"/>
      <c r="T443" s="29">
        <v>0</v>
      </c>
      <c r="U443" s="36">
        <v>0</v>
      </c>
      <c r="X443" s="26" t="s">
        <v>367</v>
      </c>
    </row>
    <row r="444" spans="1:24" x14ac:dyDescent="0.35">
      <c r="A444" s="26" t="s">
        <v>403</v>
      </c>
      <c r="B444" s="32" t="s">
        <v>404</v>
      </c>
      <c r="C444" s="26" t="s">
        <v>404</v>
      </c>
      <c r="D444" s="26" t="s">
        <v>28</v>
      </c>
      <c r="E444" s="26" t="s">
        <v>366</v>
      </c>
      <c r="F444" s="26" t="s">
        <v>30</v>
      </c>
      <c r="G444" s="26" t="s">
        <v>30</v>
      </c>
      <c r="J444" s="26" t="s">
        <v>31</v>
      </c>
      <c r="L444" s="26" t="s">
        <v>40</v>
      </c>
      <c r="N444" s="28">
        <v>45292</v>
      </c>
      <c r="O444" s="28">
        <v>45657</v>
      </c>
      <c r="P444" s="26">
        <v>52</v>
      </c>
      <c r="Q444" s="35" t="s">
        <v>49</v>
      </c>
      <c r="R444" s="29">
        <v>57600000</v>
      </c>
      <c r="S444" s="26"/>
      <c r="T444" s="29">
        <v>0</v>
      </c>
      <c r="U444" s="36">
        <v>0</v>
      </c>
      <c r="X444" s="26" t="s">
        <v>367</v>
      </c>
    </row>
    <row r="445" spans="1:24" x14ac:dyDescent="0.35">
      <c r="A445" s="26" t="s">
        <v>405</v>
      </c>
      <c r="B445" s="32" t="s">
        <v>406</v>
      </c>
      <c r="C445" s="26" t="s">
        <v>406</v>
      </c>
      <c r="D445" s="26" t="s">
        <v>28</v>
      </c>
      <c r="E445" s="26" t="s">
        <v>366</v>
      </c>
      <c r="F445" s="26" t="s">
        <v>30</v>
      </c>
      <c r="G445" s="26" t="s">
        <v>30</v>
      </c>
      <c r="J445" s="26" t="s">
        <v>31</v>
      </c>
      <c r="L445" s="26" t="s">
        <v>40</v>
      </c>
      <c r="N445" s="28">
        <v>45292</v>
      </c>
      <c r="O445" s="28">
        <v>45657</v>
      </c>
      <c r="P445" s="26">
        <v>52</v>
      </c>
      <c r="Q445" s="35" t="s">
        <v>49</v>
      </c>
      <c r="R445" s="29">
        <v>2880000</v>
      </c>
      <c r="S445" s="26"/>
      <c r="T445" s="29">
        <v>0</v>
      </c>
      <c r="U445" s="36">
        <v>0</v>
      </c>
      <c r="X445" s="26" t="s">
        <v>367</v>
      </c>
    </row>
    <row r="446" spans="1:24" x14ac:dyDescent="0.35">
      <c r="A446" s="26" t="s">
        <v>407</v>
      </c>
      <c r="B446" s="32" t="s">
        <v>408</v>
      </c>
      <c r="C446" s="26" t="s">
        <v>408</v>
      </c>
      <c r="D446" s="26" t="s">
        <v>28</v>
      </c>
      <c r="E446" s="26" t="s">
        <v>366</v>
      </c>
      <c r="F446" s="26" t="s">
        <v>30</v>
      </c>
      <c r="G446" s="26" t="s">
        <v>30</v>
      </c>
      <c r="J446" s="26" t="s">
        <v>31</v>
      </c>
      <c r="L446" s="26" t="s">
        <v>40</v>
      </c>
      <c r="N446" s="28">
        <v>45292</v>
      </c>
      <c r="O446" s="28">
        <v>45657</v>
      </c>
      <c r="P446" s="26">
        <v>52</v>
      </c>
      <c r="Q446" s="35" t="s">
        <v>49</v>
      </c>
      <c r="R446" s="29">
        <v>118000000</v>
      </c>
      <c r="S446" s="26"/>
      <c r="T446" s="29">
        <v>0</v>
      </c>
      <c r="U446" s="36">
        <v>0</v>
      </c>
      <c r="X446" s="26" t="s">
        <v>367</v>
      </c>
    </row>
    <row r="447" spans="1:24" x14ac:dyDescent="0.35">
      <c r="A447" s="26" t="s">
        <v>409</v>
      </c>
      <c r="B447" s="32" t="s">
        <v>410</v>
      </c>
      <c r="C447" s="26" t="s">
        <v>410</v>
      </c>
      <c r="D447" s="26" t="s">
        <v>28</v>
      </c>
      <c r="E447" s="26" t="s">
        <v>366</v>
      </c>
      <c r="F447" s="26" t="s">
        <v>30</v>
      </c>
      <c r="G447" s="26" t="s">
        <v>30</v>
      </c>
      <c r="J447" s="26" t="s">
        <v>31</v>
      </c>
      <c r="L447" s="26" t="s">
        <v>40</v>
      </c>
      <c r="N447" s="28">
        <v>45292</v>
      </c>
      <c r="O447" s="28">
        <v>45657</v>
      </c>
      <c r="P447" s="26">
        <v>52</v>
      </c>
      <c r="Q447" s="35" t="s">
        <v>49</v>
      </c>
      <c r="R447" s="29">
        <v>144000000</v>
      </c>
      <c r="S447" s="26"/>
      <c r="T447" s="29">
        <v>0</v>
      </c>
      <c r="U447" s="36">
        <v>0</v>
      </c>
      <c r="X447" s="26" t="s">
        <v>367</v>
      </c>
    </row>
    <row r="448" spans="1:24" x14ac:dyDescent="0.35">
      <c r="A448" s="26" t="s">
        <v>411</v>
      </c>
      <c r="B448" s="32" t="s">
        <v>412</v>
      </c>
      <c r="C448" s="26" t="s">
        <v>412</v>
      </c>
      <c r="D448" s="26" t="s">
        <v>28</v>
      </c>
      <c r="E448" s="26" t="s">
        <v>366</v>
      </c>
      <c r="F448" s="26" t="s">
        <v>30</v>
      </c>
      <c r="G448" s="26" t="s">
        <v>30</v>
      </c>
      <c r="J448" s="26" t="s">
        <v>31</v>
      </c>
      <c r="L448" s="26" t="s">
        <v>40</v>
      </c>
      <c r="N448" s="28">
        <v>45292</v>
      </c>
      <c r="O448" s="28">
        <v>45657</v>
      </c>
      <c r="P448" s="26">
        <v>52</v>
      </c>
      <c r="Q448" s="35" t="s">
        <v>49</v>
      </c>
      <c r="R448" s="29">
        <v>18000000</v>
      </c>
      <c r="S448" s="26"/>
      <c r="T448" s="29">
        <v>0</v>
      </c>
      <c r="U448" s="36">
        <v>0</v>
      </c>
      <c r="X448" s="26" t="s">
        <v>367</v>
      </c>
    </row>
    <row r="449" spans="1:24" x14ac:dyDescent="0.35">
      <c r="A449" s="26" t="s">
        <v>413</v>
      </c>
      <c r="B449" s="32" t="s">
        <v>414</v>
      </c>
      <c r="C449" s="26" t="s">
        <v>414</v>
      </c>
      <c r="D449" s="26" t="s">
        <v>28</v>
      </c>
      <c r="E449" s="26" t="s">
        <v>366</v>
      </c>
      <c r="F449" s="26" t="s">
        <v>30</v>
      </c>
      <c r="G449" s="26" t="s">
        <v>30</v>
      </c>
      <c r="J449" s="26" t="s">
        <v>31</v>
      </c>
      <c r="L449" s="26" t="s">
        <v>40</v>
      </c>
      <c r="N449" s="28">
        <v>45292</v>
      </c>
      <c r="O449" s="28">
        <v>45657</v>
      </c>
      <c r="P449" s="26">
        <v>52</v>
      </c>
      <c r="Q449" s="35" t="s">
        <v>49</v>
      </c>
      <c r="R449" s="29">
        <v>10800000</v>
      </c>
      <c r="S449" s="26"/>
      <c r="T449" s="29">
        <v>0</v>
      </c>
      <c r="U449" s="36">
        <v>0</v>
      </c>
      <c r="X449" s="26" t="s">
        <v>367</v>
      </c>
    </row>
    <row r="450" spans="1:24" x14ac:dyDescent="0.35">
      <c r="A450" s="26" t="s">
        <v>415</v>
      </c>
      <c r="B450" s="32" t="s">
        <v>416</v>
      </c>
      <c r="C450" s="26" t="s">
        <v>416</v>
      </c>
      <c r="D450" s="26" t="s">
        <v>28</v>
      </c>
      <c r="E450" s="26" t="s">
        <v>366</v>
      </c>
      <c r="F450" s="26" t="s">
        <v>30</v>
      </c>
      <c r="G450" s="26" t="s">
        <v>30</v>
      </c>
      <c r="J450" s="26" t="s">
        <v>31</v>
      </c>
      <c r="L450" s="26" t="s">
        <v>40</v>
      </c>
      <c r="N450" s="28">
        <v>45292</v>
      </c>
      <c r="O450" s="28">
        <v>45657</v>
      </c>
      <c r="P450" s="26">
        <v>52</v>
      </c>
      <c r="Q450" s="35" t="s">
        <v>49</v>
      </c>
      <c r="R450" s="29">
        <v>5400000</v>
      </c>
      <c r="S450" s="26"/>
      <c r="T450" s="29">
        <v>0</v>
      </c>
      <c r="U450" s="36">
        <v>0</v>
      </c>
      <c r="X450" s="26" t="s">
        <v>367</v>
      </c>
    </row>
    <row r="451" spans="1:24" x14ac:dyDescent="0.35">
      <c r="A451" s="26" t="s">
        <v>417</v>
      </c>
      <c r="B451" s="32" t="s">
        <v>418</v>
      </c>
      <c r="C451" s="26" t="s">
        <v>418</v>
      </c>
      <c r="D451" s="26" t="s">
        <v>28</v>
      </c>
      <c r="E451" s="26" t="s">
        <v>366</v>
      </c>
      <c r="F451" s="26" t="s">
        <v>30</v>
      </c>
      <c r="G451" s="26" t="s">
        <v>30</v>
      </c>
      <c r="J451" s="26" t="s">
        <v>31</v>
      </c>
      <c r="L451" s="26" t="s">
        <v>40</v>
      </c>
      <c r="N451" s="28">
        <v>45292</v>
      </c>
      <c r="O451" s="28">
        <v>45657</v>
      </c>
      <c r="P451" s="26">
        <v>52</v>
      </c>
      <c r="Q451" s="35" t="s">
        <v>49</v>
      </c>
      <c r="R451" s="29">
        <v>15000000</v>
      </c>
      <c r="S451" s="26"/>
      <c r="T451" s="29">
        <v>0</v>
      </c>
      <c r="U451" s="36">
        <v>0</v>
      </c>
      <c r="X451" s="26" t="s">
        <v>367</v>
      </c>
    </row>
    <row r="452" spans="1:24" x14ac:dyDescent="0.35">
      <c r="A452" s="26" t="s">
        <v>1858</v>
      </c>
      <c r="B452" s="32" t="s">
        <v>1859</v>
      </c>
      <c r="C452" s="26" t="s">
        <v>1860</v>
      </c>
      <c r="D452" s="26" t="s">
        <v>28</v>
      </c>
      <c r="E452" s="26" t="s">
        <v>366</v>
      </c>
      <c r="F452" s="26" t="s">
        <v>30</v>
      </c>
      <c r="G452" s="26" t="s">
        <v>30</v>
      </c>
      <c r="J452" s="26" t="s">
        <v>31</v>
      </c>
      <c r="L452" s="26" t="s">
        <v>40</v>
      </c>
      <c r="N452" s="28">
        <v>44938</v>
      </c>
      <c r="O452" s="28" t="s">
        <v>1722</v>
      </c>
      <c r="P452" s="26">
        <v>4</v>
      </c>
      <c r="Q452" s="35" t="s">
        <v>211</v>
      </c>
      <c r="R452" s="29" t="s">
        <v>1861</v>
      </c>
      <c r="S452" s="26"/>
      <c r="T452" s="29" t="s">
        <v>1861</v>
      </c>
      <c r="U452" s="36">
        <v>1</v>
      </c>
      <c r="X452" s="26" t="s">
        <v>367</v>
      </c>
    </row>
    <row r="453" spans="1:24" x14ac:dyDescent="0.35">
      <c r="A453" s="26" t="s">
        <v>681</v>
      </c>
      <c r="B453" s="32" t="s">
        <v>682</v>
      </c>
      <c r="C453" s="26" t="s">
        <v>683</v>
      </c>
      <c r="D453" s="26" t="s">
        <v>422</v>
      </c>
      <c r="E453" s="26" t="s">
        <v>684</v>
      </c>
      <c r="F453" s="26" t="s">
        <v>30</v>
      </c>
      <c r="G453" s="26" t="s">
        <v>30</v>
      </c>
      <c r="J453" s="26" t="s">
        <v>426</v>
      </c>
      <c r="L453" s="26" t="s">
        <v>199</v>
      </c>
      <c r="N453" s="28">
        <v>45292</v>
      </c>
      <c r="O453" s="28">
        <v>45657</v>
      </c>
      <c r="P453" s="26">
        <v>52</v>
      </c>
      <c r="Q453" s="35" t="s">
        <v>49</v>
      </c>
      <c r="R453" s="29">
        <v>250000000</v>
      </c>
      <c r="S453" s="26"/>
      <c r="T453" s="29">
        <v>0</v>
      </c>
      <c r="U453" s="36">
        <v>0</v>
      </c>
      <c r="X453" s="26" t="s">
        <v>474</v>
      </c>
    </row>
    <row r="454" spans="1:24" x14ac:dyDescent="0.35">
      <c r="A454" s="26" t="s">
        <v>685</v>
      </c>
      <c r="B454" s="32" t="s">
        <v>686</v>
      </c>
      <c r="C454" s="26" t="s">
        <v>686</v>
      </c>
      <c r="D454" s="26" t="s">
        <v>422</v>
      </c>
      <c r="E454" s="26" t="s">
        <v>684</v>
      </c>
      <c r="F454" s="26" t="s">
        <v>30</v>
      </c>
      <c r="G454" s="26" t="s">
        <v>30</v>
      </c>
      <c r="J454" s="26" t="s">
        <v>426</v>
      </c>
      <c r="L454" s="26" t="s">
        <v>199</v>
      </c>
      <c r="N454" s="28">
        <v>45292</v>
      </c>
      <c r="O454" s="28">
        <v>45657</v>
      </c>
      <c r="P454" s="26">
        <v>52</v>
      </c>
      <c r="Q454" s="35" t="s">
        <v>34</v>
      </c>
      <c r="R454" s="29">
        <v>50000000</v>
      </c>
      <c r="S454" s="26"/>
      <c r="T454" s="29">
        <v>1500000</v>
      </c>
      <c r="U454" s="36">
        <v>0.03</v>
      </c>
      <c r="X454" s="26" t="s">
        <v>687</v>
      </c>
    </row>
    <row r="455" spans="1:24" x14ac:dyDescent="0.35">
      <c r="A455" s="26" t="s">
        <v>688</v>
      </c>
      <c r="B455" s="32" t="s">
        <v>689</v>
      </c>
      <c r="C455" s="26" t="s">
        <v>689</v>
      </c>
      <c r="D455" s="26" t="s">
        <v>422</v>
      </c>
      <c r="E455" s="26" t="s">
        <v>684</v>
      </c>
      <c r="F455" s="26" t="s">
        <v>30</v>
      </c>
      <c r="G455" s="26" t="s">
        <v>30</v>
      </c>
      <c r="J455" s="26" t="s">
        <v>426</v>
      </c>
      <c r="L455" s="26" t="s">
        <v>199</v>
      </c>
      <c r="N455" s="28">
        <v>45292</v>
      </c>
      <c r="O455" s="28">
        <v>45657</v>
      </c>
      <c r="P455" s="26">
        <v>52</v>
      </c>
      <c r="Q455" s="35" t="s">
        <v>49</v>
      </c>
      <c r="R455" s="29">
        <v>50000000</v>
      </c>
      <c r="S455" s="26"/>
      <c r="T455" s="29">
        <v>0</v>
      </c>
      <c r="U455" s="36">
        <v>0</v>
      </c>
      <c r="X455" s="26" t="s">
        <v>126</v>
      </c>
    </row>
    <row r="456" spans="1:24" x14ac:dyDescent="0.35">
      <c r="A456" s="26" t="s">
        <v>690</v>
      </c>
      <c r="B456" s="32" t="s">
        <v>691</v>
      </c>
      <c r="C456" s="26" t="s">
        <v>691</v>
      </c>
      <c r="D456" s="26" t="s">
        <v>422</v>
      </c>
      <c r="E456" s="26" t="s">
        <v>684</v>
      </c>
      <c r="F456" s="26" t="s">
        <v>30</v>
      </c>
      <c r="G456" s="26" t="s">
        <v>30</v>
      </c>
      <c r="J456" s="26" t="s">
        <v>426</v>
      </c>
      <c r="L456" s="26" t="s">
        <v>199</v>
      </c>
      <c r="N456" s="28">
        <v>45292</v>
      </c>
      <c r="O456" s="28">
        <v>45657</v>
      </c>
      <c r="P456" s="26">
        <v>52</v>
      </c>
      <c r="Q456" s="35" t="s">
        <v>49</v>
      </c>
      <c r="R456" s="29">
        <v>400000000</v>
      </c>
      <c r="S456" s="26"/>
      <c r="T456" s="29">
        <v>0</v>
      </c>
      <c r="U456" s="36">
        <v>0</v>
      </c>
      <c r="X456" s="26" t="s">
        <v>126</v>
      </c>
    </row>
    <row r="457" spans="1:24" x14ac:dyDescent="0.35">
      <c r="A457" s="26" t="s">
        <v>692</v>
      </c>
      <c r="B457" s="32" t="s">
        <v>693</v>
      </c>
      <c r="C457" s="26" t="s">
        <v>693</v>
      </c>
      <c r="D457" s="26" t="s">
        <v>422</v>
      </c>
      <c r="E457" s="26" t="s">
        <v>684</v>
      </c>
      <c r="F457" s="26" t="s">
        <v>30</v>
      </c>
      <c r="G457" s="26" t="s">
        <v>30</v>
      </c>
      <c r="J457" s="26" t="s">
        <v>426</v>
      </c>
      <c r="L457" s="26" t="s">
        <v>199</v>
      </c>
      <c r="N457" s="28">
        <v>45292</v>
      </c>
      <c r="O457" s="28">
        <v>45657</v>
      </c>
      <c r="P457" s="26">
        <v>52</v>
      </c>
      <c r="Q457" s="35" t="s">
        <v>49</v>
      </c>
      <c r="R457" s="29">
        <v>100000000</v>
      </c>
      <c r="S457" s="26"/>
      <c r="T457" s="29">
        <v>0</v>
      </c>
      <c r="U457" s="36">
        <v>0</v>
      </c>
      <c r="X457" s="26" t="s">
        <v>126</v>
      </c>
    </row>
    <row r="458" spans="1:24" x14ac:dyDescent="0.35">
      <c r="A458" s="26" t="s">
        <v>1812</v>
      </c>
      <c r="B458" s="32" t="s">
        <v>1813</v>
      </c>
      <c r="C458" s="26" t="s">
        <v>1813</v>
      </c>
      <c r="D458" s="26" t="s">
        <v>1814</v>
      </c>
      <c r="E458" s="26" t="s">
        <v>684</v>
      </c>
      <c r="F458" s="26" t="s">
        <v>30</v>
      </c>
      <c r="G458" s="26" t="s">
        <v>30</v>
      </c>
      <c r="J458" s="26" t="s">
        <v>426</v>
      </c>
      <c r="L458" s="26" t="s">
        <v>199</v>
      </c>
      <c r="N458" s="28">
        <v>45292</v>
      </c>
      <c r="O458" s="28" t="s">
        <v>33</v>
      </c>
      <c r="P458" s="26">
        <v>52</v>
      </c>
      <c r="Q458" s="35" t="s">
        <v>49</v>
      </c>
      <c r="R458" s="29">
        <v>13500000</v>
      </c>
      <c r="S458" s="26"/>
      <c r="T458" s="29"/>
      <c r="U458" s="36">
        <v>0</v>
      </c>
      <c r="X458" s="26" t="s">
        <v>126</v>
      </c>
    </row>
    <row r="459" spans="1:24" x14ac:dyDescent="0.35">
      <c r="A459" s="26" t="s">
        <v>1815</v>
      </c>
      <c r="B459" s="32" t="s">
        <v>1816</v>
      </c>
      <c r="C459" s="26" t="s">
        <v>1817</v>
      </c>
      <c r="D459" s="26" t="s">
        <v>28</v>
      </c>
      <c r="E459" s="26" t="s">
        <v>684</v>
      </c>
      <c r="F459" s="26" t="s">
        <v>30</v>
      </c>
      <c r="G459" s="26" t="s">
        <v>30</v>
      </c>
      <c r="J459" s="26" t="s">
        <v>426</v>
      </c>
      <c r="L459" s="26" t="s">
        <v>199</v>
      </c>
      <c r="N459" s="28">
        <v>45566</v>
      </c>
      <c r="O459" s="28" t="s">
        <v>33</v>
      </c>
      <c r="P459" s="26">
        <v>52</v>
      </c>
      <c r="Q459" s="35" t="s">
        <v>49</v>
      </c>
      <c r="R459" s="29">
        <v>50000000</v>
      </c>
      <c r="S459" s="26"/>
      <c r="T459" s="29"/>
      <c r="U459" s="36">
        <v>0</v>
      </c>
      <c r="X459" s="26" t="s">
        <v>126</v>
      </c>
    </row>
    <row r="460" spans="1:24" x14ac:dyDescent="0.35">
      <c r="A460" s="26" t="s">
        <v>1818</v>
      </c>
      <c r="B460" s="32" t="s">
        <v>1819</v>
      </c>
      <c r="C460" s="26" t="s">
        <v>1820</v>
      </c>
      <c r="D460" s="26" t="s">
        <v>28</v>
      </c>
      <c r="E460" s="26" t="s">
        <v>684</v>
      </c>
      <c r="F460" s="26" t="s">
        <v>30</v>
      </c>
      <c r="G460" s="26" t="s">
        <v>30</v>
      </c>
      <c r="J460" s="26" t="s">
        <v>426</v>
      </c>
      <c r="L460" s="26" t="s">
        <v>199</v>
      </c>
      <c r="N460" s="28">
        <v>44936</v>
      </c>
      <c r="O460" s="28" t="s">
        <v>33</v>
      </c>
      <c r="P460" s="26">
        <v>52</v>
      </c>
      <c r="Q460" s="35" t="s">
        <v>211</v>
      </c>
      <c r="R460" s="29">
        <v>16000000</v>
      </c>
      <c r="S460" s="26"/>
      <c r="T460" s="29">
        <v>16000000</v>
      </c>
      <c r="U460" s="36">
        <v>1</v>
      </c>
      <c r="X460" s="26" t="s">
        <v>126</v>
      </c>
    </row>
    <row r="461" spans="1:24" x14ac:dyDescent="0.35">
      <c r="A461" s="26" t="s">
        <v>1821</v>
      </c>
      <c r="B461" s="32" t="s">
        <v>683</v>
      </c>
      <c r="C461" s="26" t="s">
        <v>1822</v>
      </c>
      <c r="D461" s="26" t="s">
        <v>28</v>
      </c>
      <c r="E461" s="26" t="s">
        <v>684</v>
      </c>
      <c r="F461" s="26" t="s">
        <v>30</v>
      </c>
      <c r="G461" s="26" t="s">
        <v>30</v>
      </c>
      <c r="J461" s="26" t="s">
        <v>426</v>
      </c>
      <c r="L461" s="26" t="s">
        <v>199</v>
      </c>
      <c r="N461" s="28">
        <v>45292</v>
      </c>
      <c r="O461" s="28" t="s">
        <v>33</v>
      </c>
      <c r="P461" s="26">
        <v>52</v>
      </c>
      <c r="Q461" s="35" t="s">
        <v>34</v>
      </c>
      <c r="R461" s="29">
        <v>350000000</v>
      </c>
      <c r="S461" s="26"/>
      <c r="T461" s="29">
        <v>40000000</v>
      </c>
      <c r="U461" s="36">
        <v>0.11</v>
      </c>
      <c r="X461" s="26" t="s">
        <v>126</v>
      </c>
    </row>
    <row r="462" spans="1:24" ht="31" x14ac:dyDescent="0.35">
      <c r="A462" s="26" t="s">
        <v>2102</v>
      </c>
      <c r="B462" s="39" t="s">
        <v>2103</v>
      </c>
      <c r="C462" s="39" t="s">
        <v>2103</v>
      </c>
      <c r="D462" s="26" t="s">
        <v>28</v>
      </c>
      <c r="E462" s="26" t="s">
        <v>684</v>
      </c>
      <c r="F462" s="26" t="s">
        <v>30</v>
      </c>
      <c r="G462" s="26" t="s">
        <v>30</v>
      </c>
      <c r="J462" s="26" t="s">
        <v>426</v>
      </c>
      <c r="L462" s="26" t="s">
        <v>199</v>
      </c>
      <c r="N462" s="28">
        <v>45292</v>
      </c>
      <c r="O462" s="28" t="s">
        <v>33</v>
      </c>
      <c r="P462" s="26">
        <v>4</v>
      </c>
      <c r="Q462" s="35" t="s">
        <v>34</v>
      </c>
      <c r="R462" s="29">
        <v>702218191.88</v>
      </c>
      <c r="S462" s="56"/>
      <c r="T462" s="29">
        <v>200000000</v>
      </c>
      <c r="U462" s="36">
        <f>T462/R462</f>
        <v>0.28481176123414559</v>
      </c>
      <c r="X462" s="26" t="s">
        <v>126</v>
      </c>
    </row>
    <row r="463" spans="1:24" x14ac:dyDescent="0.35">
      <c r="A463" s="26" t="s">
        <v>2570</v>
      </c>
      <c r="B463" s="32" t="s">
        <v>2568</v>
      </c>
      <c r="C463" s="26" t="s">
        <v>2569</v>
      </c>
      <c r="D463" s="26" t="s">
        <v>909</v>
      </c>
      <c r="E463" s="26" t="s">
        <v>684</v>
      </c>
      <c r="F463" s="26" t="s">
        <v>30</v>
      </c>
      <c r="G463" s="26" t="s">
        <v>30</v>
      </c>
      <c r="J463" s="26" t="s">
        <v>194</v>
      </c>
      <c r="L463" s="26" t="s">
        <v>199</v>
      </c>
      <c r="N463" s="28">
        <v>45667</v>
      </c>
      <c r="O463" s="28" t="s">
        <v>219</v>
      </c>
      <c r="P463" s="26">
        <v>4</v>
      </c>
      <c r="Q463" s="35" t="s">
        <v>34</v>
      </c>
      <c r="R463" s="29">
        <v>989861539.50999999</v>
      </c>
      <c r="S463" s="33"/>
      <c r="T463" s="29">
        <v>550000000</v>
      </c>
      <c r="U463" s="36">
        <f>T463/R463</f>
        <v>0.55563326591339257</v>
      </c>
      <c r="X463" s="26" t="s">
        <v>126</v>
      </c>
    </row>
    <row r="464" spans="1:24" ht="29" x14ac:dyDescent="0.35">
      <c r="A464" s="26" t="s">
        <v>2560</v>
      </c>
      <c r="B464" s="32" t="s">
        <v>2565</v>
      </c>
      <c r="C464" s="26" t="s">
        <v>2566</v>
      </c>
      <c r="D464" s="26" t="s">
        <v>28</v>
      </c>
      <c r="E464" s="26" t="s">
        <v>2611</v>
      </c>
      <c r="F464" s="26" t="s">
        <v>30</v>
      </c>
      <c r="G464" s="26" t="s">
        <v>30</v>
      </c>
      <c r="J464" s="26" t="s">
        <v>146</v>
      </c>
      <c r="L464" s="26" t="s">
        <v>164</v>
      </c>
      <c r="N464" s="28" t="s">
        <v>2562</v>
      </c>
      <c r="O464" s="28" t="s">
        <v>2563</v>
      </c>
      <c r="P464" s="26">
        <v>4</v>
      </c>
      <c r="Q464" s="35" t="s">
        <v>34</v>
      </c>
      <c r="R464" s="29">
        <v>120000000</v>
      </c>
      <c r="S464" s="33"/>
      <c r="T464" s="29">
        <v>73645000</v>
      </c>
      <c r="U464" s="36">
        <v>0.8</v>
      </c>
      <c r="X464" s="26" t="s">
        <v>1425</v>
      </c>
    </row>
    <row r="465" spans="1:24" ht="29" x14ac:dyDescent="0.35">
      <c r="A465" s="26" t="s">
        <v>2561</v>
      </c>
      <c r="B465" s="32" t="s">
        <v>2564</v>
      </c>
      <c r="C465" s="26" t="s">
        <v>2566</v>
      </c>
      <c r="D465" s="26" t="s">
        <v>117</v>
      </c>
      <c r="E465" s="26" t="s">
        <v>2611</v>
      </c>
      <c r="F465" s="26" t="s">
        <v>30</v>
      </c>
      <c r="G465" s="26" t="s">
        <v>30</v>
      </c>
      <c r="J465" s="26" t="s">
        <v>146</v>
      </c>
      <c r="L465" s="26" t="s">
        <v>164</v>
      </c>
      <c r="N465" s="28" t="s">
        <v>2567</v>
      </c>
      <c r="O465" s="28" t="s">
        <v>2563</v>
      </c>
      <c r="P465" s="26">
        <v>4</v>
      </c>
      <c r="Q465" s="35" t="s">
        <v>34</v>
      </c>
      <c r="R465" s="29">
        <v>37000000</v>
      </c>
      <c r="S465" s="33"/>
      <c r="T465" s="29">
        <v>30000000</v>
      </c>
      <c r="U465" s="36">
        <v>0.8</v>
      </c>
      <c r="X465" s="26" t="s">
        <v>1425</v>
      </c>
    </row>
    <row r="466" spans="1:24" x14ac:dyDescent="0.35">
      <c r="A466" s="26" t="s">
        <v>1058</v>
      </c>
      <c r="B466" s="32" t="s">
        <v>1059</v>
      </c>
      <c r="C466" s="26" t="s">
        <v>1060</v>
      </c>
      <c r="D466" s="26" t="s">
        <v>77</v>
      </c>
      <c r="E466" s="26" t="s">
        <v>472</v>
      </c>
      <c r="F466" s="26" t="s">
        <v>30</v>
      </c>
      <c r="G466" s="26" t="s">
        <v>30</v>
      </c>
      <c r="J466" s="26" t="s">
        <v>31</v>
      </c>
      <c r="L466" s="26" t="s">
        <v>223</v>
      </c>
      <c r="N466" s="28" t="s">
        <v>1061</v>
      </c>
      <c r="O466" s="28">
        <v>45657</v>
      </c>
      <c r="P466" s="26">
        <v>52</v>
      </c>
      <c r="Q466" s="35" t="s">
        <v>737</v>
      </c>
      <c r="R466" s="29">
        <v>350000000</v>
      </c>
      <c r="S466" s="26"/>
      <c r="T466" s="29">
        <v>0</v>
      </c>
      <c r="U466" s="36">
        <v>0</v>
      </c>
      <c r="X466" s="26" t="s">
        <v>474</v>
      </c>
    </row>
    <row r="467" spans="1:24" x14ac:dyDescent="0.35">
      <c r="A467" s="26" t="s">
        <v>1071</v>
      </c>
      <c r="B467" s="32" t="s">
        <v>1072</v>
      </c>
      <c r="C467" s="26" t="s">
        <v>1065</v>
      </c>
      <c r="D467" s="26" t="s">
        <v>260</v>
      </c>
      <c r="E467" s="26" t="s">
        <v>472</v>
      </c>
      <c r="F467" s="26" t="s">
        <v>30</v>
      </c>
      <c r="G467" s="26" t="s">
        <v>30</v>
      </c>
      <c r="J467" s="26" t="s">
        <v>31</v>
      </c>
      <c r="L467" s="26" t="s">
        <v>473</v>
      </c>
      <c r="N467" s="28">
        <v>45292</v>
      </c>
      <c r="O467" s="28">
        <v>45657</v>
      </c>
      <c r="P467" s="26">
        <v>52</v>
      </c>
      <c r="Q467" s="35" t="s">
        <v>49</v>
      </c>
      <c r="R467" s="29">
        <v>10000000</v>
      </c>
      <c r="S467" s="26"/>
      <c r="T467" s="29">
        <v>0</v>
      </c>
      <c r="U467" s="36">
        <v>0</v>
      </c>
      <c r="X467" s="26" t="s">
        <v>474</v>
      </c>
    </row>
    <row r="468" spans="1:24" x14ac:dyDescent="0.35">
      <c r="A468" s="26" t="s">
        <v>1078</v>
      </c>
      <c r="B468" s="32" t="s">
        <v>1079</v>
      </c>
      <c r="C468" s="26" t="s">
        <v>479</v>
      </c>
      <c r="D468" s="26" t="s">
        <v>95</v>
      </c>
      <c r="E468" s="26" t="s">
        <v>472</v>
      </c>
      <c r="F468" s="26" t="s">
        <v>30</v>
      </c>
      <c r="G468" s="26" t="s">
        <v>30</v>
      </c>
      <c r="J468" s="26" t="s">
        <v>31</v>
      </c>
      <c r="L468" s="26" t="s">
        <v>473</v>
      </c>
      <c r="N468" s="28">
        <v>45292</v>
      </c>
      <c r="O468" s="28">
        <v>45657</v>
      </c>
      <c r="P468" s="26">
        <v>52</v>
      </c>
      <c r="Q468" s="35" t="s">
        <v>49</v>
      </c>
      <c r="R468" s="29">
        <v>10000000</v>
      </c>
      <c r="S468" s="26"/>
      <c r="T468" s="29">
        <v>0</v>
      </c>
      <c r="U468" s="36">
        <v>0</v>
      </c>
      <c r="X468" s="26" t="s">
        <v>474</v>
      </c>
    </row>
    <row r="469" spans="1:24" x14ac:dyDescent="0.35">
      <c r="A469" s="26" t="s">
        <v>1062</v>
      </c>
      <c r="B469" s="32" t="s">
        <v>1063</v>
      </c>
      <c r="C469" s="26" t="s">
        <v>479</v>
      </c>
      <c r="D469" s="26" t="s">
        <v>109</v>
      </c>
      <c r="E469" s="26" t="s">
        <v>472</v>
      </c>
      <c r="F469" s="26" t="s">
        <v>30</v>
      </c>
      <c r="G469" s="26" t="s">
        <v>30</v>
      </c>
      <c r="J469" s="26" t="s">
        <v>31</v>
      </c>
      <c r="L469" s="26" t="s">
        <v>473</v>
      </c>
      <c r="N469" s="28">
        <v>45292</v>
      </c>
      <c r="O469" s="28">
        <v>45657</v>
      </c>
      <c r="P469" s="26">
        <v>52</v>
      </c>
      <c r="Q469" s="35" t="s">
        <v>49</v>
      </c>
      <c r="R469" s="29">
        <v>10000000</v>
      </c>
      <c r="S469" s="26"/>
      <c r="T469" s="29">
        <v>0</v>
      </c>
      <c r="U469" s="36">
        <v>0</v>
      </c>
      <c r="X469" s="26" t="s">
        <v>474</v>
      </c>
    </row>
    <row r="470" spans="1:24" x14ac:dyDescent="0.35">
      <c r="A470" s="26" t="s">
        <v>1064</v>
      </c>
      <c r="B470" s="32" t="s">
        <v>516</v>
      </c>
      <c r="C470" s="26" t="s">
        <v>1065</v>
      </c>
      <c r="D470" s="26" t="s">
        <v>580</v>
      </c>
      <c r="E470" s="26" t="s">
        <v>472</v>
      </c>
      <c r="F470" s="26" t="s">
        <v>30</v>
      </c>
      <c r="G470" s="26" t="s">
        <v>30</v>
      </c>
      <c r="J470" s="26" t="s">
        <v>31</v>
      </c>
      <c r="L470" s="26" t="s">
        <v>473</v>
      </c>
      <c r="N470" s="28">
        <v>45292</v>
      </c>
      <c r="O470" s="28">
        <v>45657</v>
      </c>
      <c r="P470" s="26">
        <v>52</v>
      </c>
      <c r="Q470" s="35" t="s">
        <v>49</v>
      </c>
      <c r="R470" s="29">
        <v>30000000</v>
      </c>
      <c r="S470" s="26"/>
      <c r="T470" s="29">
        <v>0</v>
      </c>
      <c r="U470" s="36">
        <v>0</v>
      </c>
      <c r="X470" s="26" t="s">
        <v>474</v>
      </c>
    </row>
    <row r="471" spans="1:24" x14ac:dyDescent="0.35">
      <c r="A471" s="26" t="s">
        <v>1073</v>
      </c>
      <c r="B471" s="32" t="s">
        <v>1074</v>
      </c>
      <c r="C471" s="26" t="s">
        <v>1075</v>
      </c>
      <c r="D471" s="26" t="s">
        <v>833</v>
      </c>
      <c r="E471" s="26" t="s">
        <v>472</v>
      </c>
      <c r="F471" s="26" t="s">
        <v>30</v>
      </c>
      <c r="G471" s="26" t="s">
        <v>30</v>
      </c>
      <c r="J471" s="26" t="s">
        <v>90</v>
      </c>
      <c r="L471" s="26" t="s">
        <v>223</v>
      </c>
      <c r="N471" s="28">
        <v>45292</v>
      </c>
      <c r="O471" s="28">
        <v>45657</v>
      </c>
      <c r="P471" s="26">
        <v>52</v>
      </c>
      <c r="Q471" s="35" t="s">
        <v>49</v>
      </c>
      <c r="R471" s="29">
        <v>200000000</v>
      </c>
      <c r="S471" s="26"/>
      <c r="T471" s="29">
        <v>0</v>
      </c>
      <c r="U471" s="36">
        <v>0</v>
      </c>
      <c r="X471" s="26" t="s">
        <v>474</v>
      </c>
    </row>
    <row r="472" spans="1:24" x14ac:dyDescent="0.35">
      <c r="A472" s="26" t="s">
        <v>1069</v>
      </c>
      <c r="B472" s="32" t="s">
        <v>1070</v>
      </c>
      <c r="C472" s="26" t="s">
        <v>1068</v>
      </c>
      <c r="D472" s="26" t="s">
        <v>833</v>
      </c>
      <c r="E472" s="26" t="s">
        <v>472</v>
      </c>
      <c r="F472" s="26" t="s">
        <v>30</v>
      </c>
      <c r="G472" s="26" t="s">
        <v>30</v>
      </c>
      <c r="J472" s="26" t="s">
        <v>574</v>
      </c>
      <c r="L472" s="26" t="s">
        <v>473</v>
      </c>
      <c r="N472" s="28">
        <v>45292</v>
      </c>
      <c r="O472" s="28">
        <v>45657</v>
      </c>
      <c r="P472" s="26">
        <v>52</v>
      </c>
      <c r="Q472" s="35" t="s">
        <v>49</v>
      </c>
      <c r="R472" s="29">
        <v>30000000</v>
      </c>
      <c r="S472" s="26"/>
      <c r="T472" s="29">
        <v>0</v>
      </c>
      <c r="U472" s="36">
        <v>0</v>
      </c>
      <c r="X472" s="26" t="s">
        <v>474</v>
      </c>
    </row>
    <row r="473" spans="1:24" x14ac:dyDescent="0.35">
      <c r="A473" s="26" t="s">
        <v>1076</v>
      </c>
      <c r="B473" s="32" t="s">
        <v>1077</v>
      </c>
      <c r="C473" s="26" t="s">
        <v>1068</v>
      </c>
      <c r="D473" s="26" t="s">
        <v>833</v>
      </c>
      <c r="E473" s="26" t="s">
        <v>472</v>
      </c>
      <c r="F473" s="26" t="s">
        <v>30</v>
      </c>
      <c r="G473" s="26" t="s">
        <v>30</v>
      </c>
      <c r="J473" s="26" t="s">
        <v>31</v>
      </c>
      <c r="L473" s="26" t="s">
        <v>473</v>
      </c>
      <c r="N473" s="28">
        <v>45292</v>
      </c>
      <c r="O473" s="28">
        <v>45657</v>
      </c>
      <c r="P473" s="26">
        <v>52</v>
      </c>
      <c r="Q473" s="35" t="s">
        <v>49</v>
      </c>
      <c r="R473" s="29">
        <v>10000000</v>
      </c>
      <c r="S473" s="26"/>
      <c r="T473" s="29">
        <v>0</v>
      </c>
      <c r="U473" s="36">
        <v>0</v>
      </c>
      <c r="X473" s="26" t="s">
        <v>474</v>
      </c>
    </row>
    <row r="474" spans="1:24" x14ac:dyDescent="0.35">
      <c r="A474" s="26" t="s">
        <v>1066</v>
      </c>
      <c r="B474" s="32" t="s">
        <v>1067</v>
      </c>
      <c r="C474" s="26" t="s">
        <v>1068</v>
      </c>
      <c r="D474" s="26" t="s">
        <v>306</v>
      </c>
      <c r="E474" s="26" t="s">
        <v>472</v>
      </c>
      <c r="F474" s="26" t="s">
        <v>30</v>
      </c>
      <c r="G474" s="26" t="s">
        <v>30</v>
      </c>
      <c r="J474" s="26" t="s">
        <v>31</v>
      </c>
      <c r="L474" s="26" t="s">
        <v>473</v>
      </c>
      <c r="N474" s="28">
        <v>45292</v>
      </c>
      <c r="O474" s="28">
        <v>45657</v>
      </c>
      <c r="P474" s="26">
        <v>52</v>
      </c>
      <c r="Q474" s="35" t="s">
        <v>49</v>
      </c>
      <c r="R474" s="29">
        <v>20000000</v>
      </c>
      <c r="S474" s="26"/>
      <c r="T474" s="29">
        <v>0</v>
      </c>
      <c r="U474" s="36">
        <v>0</v>
      </c>
      <c r="X474" s="26" t="s">
        <v>474</v>
      </c>
    </row>
    <row r="475" spans="1:24" x14ac:dyDescent="0.35">
      <c r="A475" s="26" t="s">
        <v>1096</v>
      </c>
      <c r="B475" s="32" t="s">
        <v>1097</v>
      </c>
      <c r="C475" s="26" t="s">
        <v>479</v>
      </c>
      <c r="D475" s="26" t="s">
        <v>253</v>
      </c>
      <c r="E475" s="26" t="s">
        <v>472</v>
      </c>
      <c r="F475" s="26" t="s">
        <v>30</v>
      </c>
      <c r="G475" s="26" t="s">
        <v>30</v>
      </c>
      <c r="J475" s="26" t="s">
        <v>31</v>
      </c>
      <c r="L475" s="26" t="s">
        <v>32</v>
      </c>
      <c r="N475" s="28">
        <v>45292</v>
      </c>
      <c r="O475" s="28">
        <v>45657</v>
      </c>
      <c r="P475" s="26">
        <v>52</v>
      </c>
      <c r="Q475" s="35" t="s">
        <v>49</v>
      </c>
      <c r="R475" s="29">
        <v>250000000</v>
      </c>
      <c r="S475" s="26"/>
      <c r="T475" s="29">
        <v>0</v>
      </c>
      <c r="U475" s="36">
        <v>0</v>
      </c>
      <c r="X475" s="26" t="s">
        <v>474</v>
      </c>
    </row>
    <row r="476" spans="1:24" x14ac:dyDescent="0.35">
      <c r="A476" s="26" t="s">
        <v>1084</v>
      </c>
      <c r="B476" s="32" t="s">
        <v>1085</v>
      </c>
      <c r="C476" s="26" t="s">
        <v>479</v>
      </c>
      <c r="D476" s="26" t="s">
        <v>512</v>
      </c>
      <c r="E476" s="26" t="s">
        <v>472</v>
      </c>
      <c r="F476" s="26" t="s">
        <v>30</v>
      </c>
      <c r="G476" s="26" t="s">
        <v>30</v>
      </c>
      <c r="J476" s="26" t="s">
        <v>31</v>
      </c>
      <c r="L476" s="26" t="s">
        <v>223</v>
      </c>
      <c r="N476" s="28">
        <v>45292</v>
      </c>
      <c r="O476" s="28">
        <v>45657</v>
      </c>
      <c r="P476" s="26">
        <v>52</v>
      </c>
      <c r="Q476" s="35" t="s">
        <v>49</v>
      </c>
      <c r="R476" s="29">
        <v>20000000</v>
      </c>
      <c r="S476" s="26"/>
      <c r="T476" s="29">
        <v>0</v>
      </c>
      <c r="U476" s="36">
        <v>0</v>
      </c>
      <c r="X476" s="26" t="s">
        <v>474</v>
      </c>
    </row>
    <row r="477" spans="1:24" x14ac:dyDescent="0.35">
      <c r="A477" s="26" t="s">
        <v>1086</v>
      </c>
      <c r="B477" s="32" t="s">
        <v>1087</v>
      </c>
      <c r="C477" s="26" t="s">
        <v>1075</v>
      </c>
      <c r="D477" s="26" t="s">
        <v>833</v>
      </c>
      <c r="E477" s="26" t="s">
        <v>472</v>
      </c>
      <c r="F477" s="26" t="s">
        <v>30</v>
      </c>
      <c r="G477" s="26" t="s">
        <v>30</v>
      </c>
      <c r="J477" s="26" t="s">
        <v>31</v>
      </c>
      <c r="L477" s="26" t="s">
        <v>223</v>
      </c>
      <c r="N477" s="28">
        <v>45292</v>
      </c>
      <c r="O477" s="28">
        <v>45657</v>
      </c>
      <c r="P477" s="26">
        <v>52</v>
      </c>
      <c r="Q477" s="35" t="s">
        <v>49</v>
      </c>
      <c r="R477" s="29">
        <v>10000000</v>
      </c>
      <c r="S477" s="26"/>
      <c r="T477" s="29">
        <v>0</v>
      </c>
      <c r="U477" s="36">
        <v>0</v>
      </c>
      <c r="X477" s="26" t="s">
        <v>474</v>
      </c>
    </row>
    <row r="478" spans="1:24" x14ac:dyDescent="0.35">
      <c r="A478" s="26" t="s">
        <v>1088</v>
      </c>
      <c r="B478" s="32" t="s">
        <v>1089</v>
      </c>
      <c r="C478" s="26" t="s">
        <v>1075</v>
      </c>
      <c r="D478" s="26" t="s">
        <v>229</v>
      </c>
      <c r="E478" s="26" t="s">
        <v>472</v>
      </c>
      <c r="F478" s="26" t="s">
        <v>30</v>
      </c>
      <c r="G478" s="26" t="s">
        <v>30</v>
      </c>
      <c r="J478" s="26" t="s">
        <v>31</v>
      </c>
      <c r="L478" s="26" t="s">
        <v>223</v>
      </c>
      <c r="N478" s="28">
        <v>45292</v>
      </c>
      <c r="O478" s="28">
        <v>45657</v>
      </c>
      <c r="P478" s="26">
        <v>52</v>
      </c>
      <c r="Q478" s="35" t="s">
        <v>49</v>
      </c>
      <c r="R478" s="29">
        <v>15000000</v>
      </c>
      <c r="S478" s="26"/>
      <c r="T478" s="29">
        <v>0</v>
      </c>
      <c r="U478" s="36">
        <v>0</v>
      </c>
      <c r="X478" s="26" t="s">
        <v>474</v>
      </c>
    </row>
    <row r="479" spans="1:24" x14ac:dyDescent="0.35">
      <c r="A479" s="26" t="s">
        <v>1090</v>
      </c>
      <c r="B479" s="32" t="s">
        <v>1091</v>
      </c>
      <c r="C479" s="26" t="s">
        <v>479</v>
      </c>
      <c r="D479" s="26" t="s">
        <v>512</v>
      </c>
      <c r="E479" s="26" t="s">
        <v>472</v>
      </c>
      <c r="F479" s="26" t="s">
        <v>30</v>
      </c>
      <c r="G479" s="26" t="s">
        <v>30</v>
      </c>
      <c r="J479" s="26" t="s">
        <v>31</v>
      </c>
      <c r="L479" s="26" t="s">
        <v>473</v>
      </c>
      <c r="N479" s="28">
        <v>45292</v>
      </c>
      <c r="O479" s="28">
        <v>45657</v>
      </c>
      <c r="P479" s="26">
        <v>52</v>
      </c>
      <c r="Q479" s="35" t="s">
        <v>49</v>
      </c>
      <c r="R479" s="29">
        <v>5000000</v>
      </c>
      <c r="S479" s="26"/>
      <c r="T479" s="29">
        <v>0</v>
      </c>
      <c r="U479" s="36">
        <v>0</v>
      </c>
      <c r="X479" s="26" t="s">
        <v>474</v>
      </c>
    </row>
    <row r="480" spans="1:24" x14ac:dyDescent="0.35">
      <c r="A480" s="26" t="s">
        <v>1092</v>
      </c>
      <c r="B480" s="32" t="s">
        <v>1093</v>
      </c>
      <c r="C480" s="26" t="s">
        <v>1075</v>
      </c>
      <c r="D480" s="26" t="s">
        <v>253</v>
      </c>
      <c r="E480" s="26" t="s">
        <v>472</v>
      </c>
      <c r="F480" s="26" t="s">
        <v>30</v>
      </c>
      <c r="G480" s="26" t="s">
        <v>30</v>
      </c>
      <c r="J480" s="26" t="s">
        <v>31</v>
      </c>
      <c r="L480" s="26" t="s">
        <v>223</v>
      </c>
      <c r="N480" s="28">
        <v>45292</v>
      </c>
      <c r="O480" s="28">
        <v>45657</v>
      </c>
      <c r="P480" s="26">
        <v>52</v>
      </c>
      <c r="Q480" s="35" t="s">
        <v>49</v>
      </c>
      <c r="R480" s="29">
        <v>10000000</v>
      </c>
      <c r="S480" s="26"/>
      <c r="T480" s="29">
        <v>0</v>
      </c>
      <c r="U480" s="36">
        <v>0</v>
      </c>
      <c r="X480" s="26" t="s">
        <v>474</v>
      </c>
    </row>
    <row r="481" spans="1:24" x14ac:dyDescent="0.35">
      <c r="A481" s="26" t="s">
        <v>1094</v>
      </c>
      <c r="B481" s="32" t="s">
        <v>1095</v>
      </c>
      <c r="C481" s="26" t="s">
        <v>1075</v>
      </c>
      <c r="D481" s="26" t="s">
        <v>28</v>
      </c>
      <c r="E481" s="26" t="s">
        <v>472</v>
      </c>
      <c r="F481" s="26" t="s">
        <v>30</v>
      </c>
      <c r="G481" s="26" t="s">
        <v>30</v>
      </c>
      <c r="J481" s="26" t="s">
        <v>31</v>
      </c>
      <c r="L481" s="26" t="s">
        <v>223</v>
      </c>
      <c r="N481" s="28">
        <v>45292</v>
      </c>
      <c r="O481" s="28">
        <v>45657</v>
      </c>
      <c r="P481" s="26">
        <v>52</v>
      </c>
      <c r="Q481" s="35" t="s">
        <v>211</v>
      </c>
      <c r="R481" s="29">
        <v>100000000</v>
      </c>
      <c r="S481" s="26"/>
      <c r="T481" s="29">
        <v>200000000</v>
      </c>
      <c r="U481" s="36">
        <v>1</v>
      </c>
      <c r="X481" s="26" t="s">
        <v>474</v>
      </c>
    </row>
    <row r="482" spans="1:24" x14ac:dyDescent="0.35">
      <c r="A482" s="26" t="s">
        <v>1080</v>
      </c>
      <c r="B482" s="32" t="s">
        <v>1081</v>
      </c>
      <c r="C482" s="26" t="s">
        <v>1082</v>
      </c>
      <c r="D482" s="26" t="s">
        <v>1083</v>
      </c>
      <c r="E482" s="26" t="s">
        <v>472</v>
      </c>
      <c r="F482" s="26" t="s">
        <v>30</v>
      </c>
      <c r="G482" s="26" t="s">
        <v>30</v>
      </c>
      <c r="J482" s="26" t="s">
        <v>113</v>
      </c>
      <c r="L482" s="26" t="s">
        <v>53</v>
      </c>
      <c r="N482" s="28">
        <v>45292</v>
      </c>
      <c r="O482" s="28">
        <v>45657</v>
      </c>
      <c r="P482" s="26">
        <v>52</v>
      </c>
      <c r="Q482" s="35" t="s">
        <v>49</v>
      </c>
      <c r="R482" s="29">
        <v>10000000</v>
      </c>
      <c r="S482" s="26"/>
      <c r="T482" s="29">
        <v>0</v>
      </c>
      <c r="U482" s="36">
        <v>0</v>
      </c>
      <c r="X482" s="26" t="s">
        <v>474</v>
      </c>
    </row>
    <row r="483" spans="1:24" x14ac:dyDescent="0.35">
      <c r="A483" s="26" t="s">
        <v>1098</v>
      </c>
      <c r="B483" s="32" t="s">
        <v>1099</v>
      </c>
      <c r="C483" s="26" t="s">
        <v>1075</v>
      </c>
      <c r="D483" s="26" t="s">
        <v>95</v>
      </c>
      <c r="E483" s="26" t="s">
        <v>472</v>
      </c>
      <c r="F483" s="26" t="s">
        <v>30</v>
      </c>
      <c r="G483" s="26" t="s">
        <v>30</v>
      </c>
      <c r="J483" s="26" t="s">
        <v>31</v>
      </c>
      <c r="L483" s="26" t="s">
        <v>223</v>
      </c>
      <c r="N483" s="28">
        <v>45292</v>
      </c>
      <c r="O483" s="28">
        <v>45657</v>
      </c>
      <c r="P483" s="26">
        <v>52</v>
      </c>
      <c r="Q483" s="35" t="s">
        <v>49</v>
      </c>
      <c r="R483" s="29">
        <v>50000000</v>
      </c>
      <c r="S483" s="26"/>
      <c r="T483" s="29">
        <v>0</v>
      </c>
      <c r="U483" s="36">
        <v>0</v>
      </c>
      <c r="X483" s="26" t="s">
        <v>474</v>
      </c>
    </row>
    <row r="484" spans="1:24" x14ac:dyDescent="0.35">
      <c r="A484" s="26" t="s">
        <v>1100</v>
      </c>
      <c r="B484" s="32" t="s">
        <v>1091</v>
      </c>
      <c r="C484" s="26" t="s">
        <v>471</v>
      </c>
      <c r="D484" s="26" t="s">
        <v>28</v>
      </c>
      <c r="E484" s="26" t="s">
        <v>472</v>
      </c>
      <c r="F484" s="26" t="s">
        <v>30</v>
      </c>
      <c r="G484" s="26" t="s">
        <v>30</v>
      </c>
      <c r="J484" s="26" t="s">
        <v>31</v>
      </c>
      <c r="L484" s="26" t="s">
        <v>40</v>
      </c>
      <c r="N484" s="28">
        <v>45292</v>
      </c>
      <c r="O484" s="28">
        <v>45657</v>
      </c>
      <c r="P484" s="26">
        <v>52</v>
      </c>
      <c r="Q484" s="35" t="s">
        <v>49</v>
      </c>
      <c r="R484" s="29">
        <v>100000000</v>
      </c>
      <c r="S484" s="26"/>
      <c r="T484" s="29">
        <v>0</v>
      </c>
      <c r="U484" s="36">
        <v>0</v>
      </c>
      <c r="X484" s="26" t="s">
        <v>474</v>
      </c>
    </row>
    <row r="485" spans="1:24" x14ac:dyDescent="0.35">
      <c r="A485" s="26" t="s">
        <v>469</v>
      </c>
      <c r="B485" s="32" t="s">
        <v>470</v>
      </c>
      <c r="C485" s="26" t="s">
        <v>471</v>
      </c>
      <c r="D485" s="26" t="s">
        <v>28</v>
      </c>
      <c r="E485" s="26" t="s">
        <v>472</v>
      </c>
      <c r="F485" s="26" t="s">
        <v>30</v>
      </c>
      <c r="G485" s="26" t="s">
        <v>30</v>
      </c>
      <c r="J485" s="26" t="s">
        <v>146</v>
      </c>
      <c r="L485" s="26" t="s">
        <v>473</v>
      </c>
      <c r="N485" s="28">
        <v>45292</v>
      </c>
      <c r="O485" s="28">
        <v>45657</v>
      </c>
      <c r="P485" s="26">
        <v>52</v>
      </c>
      <c r="Q485" s="35" t="s">
        <v>49</v>
      </c>
      <c r="R485" s="29">
        <v>5000000</v>
      </c>
      <c r="S485" s="26"/>
      <c r="T485" s="29">
        <v>0</v>
      </c>
      <c r="U485" s="36">
        <v>0</v>
      </c>
      <c r="X485" s="26" t="s">
        <v>474</v>
      </c>
    </row>
    <row r="486" spans="1:24" x14ac:dyDescent="0.35">
      <c r="A486" s="26" t="s">
        <v>475</v>
      </c>
      <c r="B486" s="32" t="s">
        <v>476</v>
      </c>
      <c r="C486" s="26" t="s">
        <v>471</v>
      </c>
      <c r="D486" s="26" t="s">
        <v>28</v>
      </c>
      <c r="E486" s="26" t="s">
        <v>472</v>
      </c>
      <c r="F486" s="26" t="s">
        <v>30</v>
      </c>
      <c r="G486" s="26" t="s">
        <v>30</v>
      </c>
      <c r="J486" s="26" t="s">
        <v>31</v>
      </c>
      <c r="L486" s="26" t="s">
        <v>473</v>
      </c>
      <c r="N486" s="28">
        <v>45292</v>
      </c>
      <c r="O486" s="28">
        <v>45657</v>
      </c>
      <c r="P486" s="26">
        <v>52</v>
      </c>
      <c r="Q486" s="35" t="s">
        <v>49</v>
      </c>
      <c r="R486" s="29">
        <v>20000000</v>
      </c>
      <c r="S486" s="26"/>
      <c r="T486" s="29">
        <v>0</v>
      </c>
      <c r="U486" s="36">
        <v>0</v>
      </c>
      <c r="X486" s="26" t="s">
        <v>474</v>
      </c>
    </row>
    <row r="487" spans="1:24" x14ac:dyDescent="0.35">
      <c r="A487" s="26" t="s">
        <v>477</v>
      </c>
      <c r="B487" s="32" t="s">
        <v>478</v>
      </c>
      <c r="C487" s="26" t="s">
        <v>479</v>
      </c>
      <c r="D487" s="26" t="s">
        <v>480</v>
      </c>
      <c r="E487" s="26" t="s">
        <v>472</v>
      </c>
      <c r="F487" s="26" t="s">
        <v>30</v>
      </c>
      <c r="G487" s="26" t="s">
        <v>30</v>
      </c>
      <c r="J487" s="26" t="s">
        <v>31</v>
      </c>
      <c r="L487" s="26" t="s">
        <v>40</v>
      </c>
      <c r="N487" s="28">
        <v>45292</v>
      </c>
      <c r="O487" s="28">
        <v>45657</v>
      </c>
      <c r="P487" s="26">
        <v>52</v>
      </c>
      <c r="Q487" s="35" t="s">
        <v>49</v>
      </c>
      <c r="R487" s="29">
        <v>30000000</v>
      </c>
      <c r="S487" s="26"/>
      <c r="T487" s="29">
        <v>0</v>
      </c>
      <c r="U487" s="36">
        <v>0</v>
      </c>
      <c r="X487" s="26" t="s">
        <v>474</v>
      </c>
    </row>
    <row r="488" spans="1:24" x14ac:dyDescent="0.35">
      <c r="A488" s="26" t="s">
        <v>481</v>
      </c>
      <c r="B488" s="32" t="s">
        <v>482</v>
      </c>
      <c r="C488" s="26" t="s">
        <v>479</v>
      </c>
      <c r="D488" s="26" t="s">
        <v>28</v>
      </c>
      <c r="E488" s="26" t="s">
        <v>472</v>
      </c>
      <c r="F488" s="26" t="s">
        <v>30</v>
      </c>
      <c r="G488" s="26" t="s">
        <v>30</v>
      </c>
      <c r="J488" s="26" t="s">
        <v>483</v>
      </c>
      <c r="L488" s="26" t="s">
        <v>473</v>
      </c>
      <c r="N488" s="28">
        <v>45292</v>
      </c>
      <c r="O488" s="28">
        <v>45657</v>
      </c>
      <c r="P488" s="26">
        <v>52</v>
      </c>
      <c r="Q488" s="35" t="s">
        <v>49</v>
      </c>
      <c r="R488" s="29">
        <v>30000000</v>
      </c>
      <c r="S488" s="26"/>
      <c r="T488" s="29">
        <v>0</v>
      </c>
      <c r="U488" s="36">
        <v>0</v>
      </c>
      <c r="X488" s="26" t="s">
        <v>474</v>
      </c>
    </row>
    <row r="489" spans="1:24" x14ac:dyDescent="0.35">
      <c r="A489" s="26" t="s">
        <v>484</v>
      </c>
      <c r="B489" s="32" t="s">
        <v>485</v>
      </c>
      <c r="C489" s="26" t="s">
        <v>479</v>
      </c>
      <c r="D489" s="26" t="s">
        <v>117</v>
      </c>
      <c r="E489" s="26" t="s">
        <v>472</v>
      </c>
      <c r="F489" s="26" t="s">
        <v>30</v>
      </c>
      <c r="G489" s="26" t="s">
        <v>30</v>
      </c>
      <c r="J489" s="26" t="s">
        <v>31</v>
      </c>
      <c r="L489" s="26" t="s">
        <v>473</v>
      </c>
      <c r="N489" s="28">
        <v>45292</v>
      </c>
      <c r="O489" s="28">
        <v>45657</v>
      </c>
      <c r="P489" s="26">
        <v>52</v>
      </c>
      <c r="Q489" s="35" t="s">
        <v>49</v>
      </c>
      <c r="R489" s="29">
        <v>350000000</v>
      </c>
      <c r="S489" s="26"/>
      <c r="T489" s="29">
        <v>0</v>
      </c>
      <c r="U489" s="36">
        <v>0</v>
      </c>
      <c r="X489" s="26" t="s">
        <v>474</v>
      </c>
    </row>
    <row r="490" spans="1:24" x14ac:dyDescent="0.35">
      <c r="A490" s="26" t="s">
        <v>486</v>
      </c>
      <c r="B490" s="32" t="s">
        <v>487</v>
      </c>
      <c r="C490" s="26" t="s">
        <v>479</v>
      </c>
      <c r="D490" s="26" t="s">
        <v>117</v>
      </c>
      <c r="E490" s="26" t="s">
        <v>472</v>
      </c>
      <c r="F490" s="26" t="s">
        <v>30</v>
      </c>
      <c r="G490" s="26" t="s">
        <v>30</v>
      </c>
      <c r="J490" s="26" t="s">
        <v>31</v>
      </c>
      <c r="L490" s="26" t="s">
        <v>473</v>
      </c>
      <c r="N490" s="28">
        <v>45292</v>
      </c>
      <c r="O490" s="28">
        <v>45657</v>
      </c>
      <c r="P490" s="26">
        <v>52</v>
      </c>
      <c r="Q490" s="35" t="s">
        <v>49</v>
      </c>
      <c r="R490" s="29">
        <v>30000000</v>
      </c>
      <c r="S490" s="26"/>
      <c r="T490" s="29">
        <v>0</v>
      </c>
      <c r="U490" s="36">
        <v>0</v>
      </c>
      <c r="X490" s="26" t="s">
        <v>474</v>
      </c>
    </row>
    <row r="491" spans="1:24" x14ac:dyDescent="0.35">
      <c r="A491" s="26" t="s">
        <v>488</v>
      </c>
      <c r="B491" s="32" t="s">
        <v>489</v>
      </c>
      <c r="C491" s="26" t="s">
        <v>479</v>
      </c>
      <c r="D491" s="26" t="s">
        <v>117</v>
      </c>
      <c r="E491" s="26" t="s">
        <v>472</v>
      </c>
      <c r="F491" s="26" t="s">
        <v>30</v>
      </c>
      <c r="G491" s="26" t="s">
        <v>30</v>
      </c>
      <c r="J491" s="26" t="s">
        <v>31</v>
      </c>
      <c r="L491" s="26" t="s">
        <v>473</v>
      </c>
      <c r="N491" s="28">
        <v>45292</v>
      </c>
      <c r="O491" s="28">
        <v>45657</v>
      </c>
      <c r="P491" s="26">
        <v>52</v>
      </c>
      <c r="Q491" s="35" t="s">
        <v>49</v>
      </c>
      <c r="R491" s="29">
        <v>30000000</v>
      </c>
      <c r="S491" s="26"/>
      <c r="T491" s="29">
        <v>0</v>
      </c>
      <c r="U491" s="36">
        <v>0</v>
      </c>
      <c r="X491" s="26" t="s">
        <v>474</v>
      </c>
    </row>
    <row r="492" spans="1:24" x14ac:dyDescent="0.35">
      <c r="A492" s="26" t="s">
        <v>490</v>
      </c>
      <c r="B492" s="32" t="s">
        <v>491</v>
      </c>
      <c r="C492" s="26" t="s">
        <v>479</v>
      </c>
      <c r="D492" s="26" t="s">
        <v>28</v>
      </c>
      <c r="E492" s="26" t="s">
        <v>472</v>
      </c>
      <c r="F492" s="26" t="s">
        <v>30</v>
      </c>
      <c r="G492" s="26" t="s">
        <v>30</v>
      </c>
      <c r="J492" s="26" t="s">
        <v>31</v>
      </c>
      <c r="L492" s="26" t="s">
        <v>473</v>
      </c>
      <c r="N492" s="28">
        <v>45292</v>
      </c>
      <c r="O492" s="28">
        <v>45657</v>
      </c>
      <c r="P492" s="26">
        <v>52</v>
      </c>
      <c r="Q492" s="35" t="s">
        <v>49</v>
      </c>
      <c r="R492" s="29">
        <v>100000000</v>
      </c>
      <c r="S492" s="26"/>
      <c r="T492" s="29">
        <v>0</v>
      </c>
      <c r="U492" s="36">
        <v>0</v>
      </c>
      <c r="X492" s="26" t="s">
        <v>474</v>
      </c>
    </row>
    <row r="493" spans="1:24" x14ac:dyDescent="0.35">
      <c r="A493" s="26" t="s">
        <v>492</v>
      </c>
      <c r="B493" s="32" t="s">
        <v>493</v>
      </c>
      <c r="C493" s="26" t="s">
        <v>479</v>
      </c>
      <c r="D493" s="26" t="s">
        <v>28</v>
      </c>
      <c r="E493" s="26" t="s">
        <v>472</v>
      </c>
      <c r="F493" s="26" t="s">
        <v>30</v>
      </c>
      <c r="G493" s="26" t="s">
        <v>30</v>
      </c>
      <c r="J493" s="26" t="s">
        <v>31</v>
      </c>
      <c r="L493" s="26" t="s">
        <v>473</v>
      </c>
      <c r="N493" s="28">
        <v>45292</v>
      </c>
      <c r="O493" s="28">
        <v>45657</v>
      </c>
      <c r="P493" s="26">
        <v>52</v>
      </c>
      <c r="Q493" s="35" t="s">
        <v>49</v>
      </c>
      <c r="R493" s="29">
        <v>20000000</v>
      </c>
      <c r="S493" s="26"/>
      <c r="T493" s="29">
        <v>0</v>
      </c>
      <c r="U493" s="36">
        <v>0</v>
      </c>
      <c r="X493" s="26" t="s">
        <v>474</v>
      </c>
    </row>
    <row r="494" spans="1:24" x14ac:dyDescent="0.35">
      <c r="A494" s="26" t="s">
        <v>494</v>
      </c>
      <c r="B494" s="32" t="s">
        <v>495</v>
      </c>
      <c r="C494" s="26" t="s">
        <v>471</v>
      </c>
      <c r="D494" s="26" t="s">
        <v>285</v>
      </c>
      <c r="E494" s="26" t="s">
        <v>472</v>
      </c>
      <c r="F494" s="26" t="s">
        <v>30</v>
      </c>
      <c r="G494" s="26" t="s">
        <v>30</v>
      </c>
      <c r="J494" s="26" t="s">
        <v>31</v>
      </c>
      <c r="L494" s="26" t="s">
        <v>223</v>
      </c>
      <c r="N494" s="28">
        <v>45292</v>
      </c>
      <c r="O494" s="28">
        <v>45657</v>
      </c>
      <c r="P494" s="26">
        <v>52</v>
      </c>
      <c r="Q494" s="35" t="s">
        <v>49</v>
      </c>
      <c r="R494" s="29">
        <v>10000000</v>
      </c>
      <c r="S494" s="26"/>
      <c r="T494" s="29">
        <v>0</v>
      </c>
      <c r="U494" s="36">
        <v>0</v>
      </c>
      <c r="X494" s="26" t="s">
        <v>474</v>
      </c>
    </row>
    <row r="495" spans="1:24" x14ac:dyDescent="0.35">
      <c r="A495" s="26" t="s">
        <v>496</v>
      </c>
      <c r="B495" s="32" t="s">
        <v>497</v>
      </c>
      <c r="C495" s="26" t="s">
        <v>471</v>
      </c>
      <c r="D495" s="26" t="s">
        <v>77</v>
      </c>
      <c r="E495" s="26" t="s">
        <v>472</v>
      </c>
      <c r="F495" s="26" t="s">
        <v>30</v>
      </c>
      <c r="G495" s="26" t="s">
        <v>30</v>
      </c>
      <c r="J495" s="26" t="s">
        <v>31</v>
      </c>
      <c r="L495" s="26" t="s">
        <v>223</v>
      </c>
      <c r="N495" s="28">
        <v>45292</v>
      </c>
      <c r="O495" s="28">
        <v>45657</v>
      </c>
      <c r="P495" s="26">
        <v>52</v>
      </c>
      <c r="Q495" s="35" t="s">
        <v>49</v>
      </c>
      <c r="R495" s="29">
        <v>35000000</v>
      </c>
      <c r="S495" s="26"/>
      <c r="T495" s="29">
        <v>0</v>
      </c>
      <c r="U495" s="36">
        <v>0</v>
      </c>
      <c r="X495" s="26" t="s">
        <v>474</v>
      </c>
    </row>
    <row r="496" spans="1:24" x14ac:dyDescent="0.35">
      <c r="A496" s="26" t="s">
        <v>498</v>
      </c>
      <c r="B496" s="32" t="s">
        <v>499</v>
      </c>
      <c r="C496" s="26" t="s">
        <v>471</v>
      </c>
      <c r="D496" s="26" t="s">
        <v>77</v>
      </c>
      <c r="E496" s="26" t="s">
        <v>472</v>
      </c>
      <c r="F496" s="26" t="s">
        <v>30</v>
      </c>
      <c r="G496" s="26" t="s">
        <v>30</v>
      </c>
      <c r="J496" s="26" t="s">
        <v>31</v>
      </c>
      <c r="L496" s="26" t="s">
        <v>223</v>
      </c>
      <c r="N496" s="28">
        <v>45292</v>
      </c>
      <c r="O496" s="28">
        <v>45657</v>
      </c>
      <c r="P496" s="26">
        <v>52</v>
      </c>
      <c r="Q496" s="35" t="s">
        <v>49</v>
      </c>
      <c r="R496" s="29">
        <v>35000000</v>
      </c>
      <c r="S496" s="26"/>
      <c r="T496" s="29">
        <v>0</v>
      </c>
      <c r="U496" s="36">
        <v>0</v>
      </c>
      <c r="X496" s="26" t="s">
        <v>474</v>
      </c>
    </row>
    <row r="497" spans="1:24" x14ac:dyDescent="0.35">
      <c r="A497" s="26" t="s">
        <v>500</v>
      </c>
      <c r="B497" s="32" t="s">
        <v>501</v>
      </c>
      <c r="C497" s="26" t="s">
        <v>479</v>
      </c>
      <c r="D497" s="26" t="s">
        <v>77</v>
      </c>
      <c r="E497" s="26" t="s">
        <v>472</v>
      </c>
      <c r="F497" s="26" t="s">
        <v>30</v>
      </c>
      <c r="G497" s="26" t="s">
        <v>30</v>
      </c>
      <c r="J497" s="26" t="s">
        <v>31</v>
      </c>
      <c r="L497" s="26" t="s">
        <v>473</v>
      </c>
      <c r="N497" s="28">
        <v>45292</v>
      </c>
      <c r="O497" s="28">
        <v>45657</v>
      </c>
      <c r="P497" s="26">
        <v>52</v>
      </c>
      <c r="Q497" s="35" t="s">
        <v>49</v>
      </c>
      <c r="R497" s="29">
        <v>50000000</v>
      </c>
      <c r="S497" s="26"/>
      <c r="T497" s="29">
        <v>0</v>
      </c>
      <c r="U497" s="36">
        <v>0</v>
      </c>
      <c r="X497" s="26" t="s">
        <v>474</v>
      </c>
    </row>
    <row r="498" spans="1:24" ht="29" x14ac:dyDescent="0.35">
      <c r="A498" s="26" t="s">
        <v>502</v>
      </c>
      <c r="B498" s="32" t="s">
        <v>503</v>
      </c>
      <c r="C498" s="26" t="s">
        <v>479</v>
      </c>
      <c r="D498" s="26" t="s">
        <v>77</v>
      </c>
      <c r="E498" s="26" t="s">
        <v>472</v>
      </c>
      <c r="F498" s="26" t="s">
        <v>30</v>
      </c>
      <c r="G498" s="26" t="s">
        <v>30</v>
      </c>
      <c r="J498" s="26" t="s">
        <v>31</v>
      </c>
      <c r="L498" s="26" t="s">
        <v>473</v>
      </c>
      <c r="N498" s="28">
        <v>45292</v>
      </c>
      <c r="O498" s="28">
        <v>45657</v>
      </c>
      <c r="P498" s="26">
        <v>52</v>
      </c>
      <c r="Q498" s="35" t="s">
        <v>49</v>
      </c>
      <c r="R498" s="29">
        <v>45000000</v>
      </c>
      <c r="S498" s="26"/>
      <c r="T498" s="29">
        <v>0</v>
      </c>
      <c r="U498" s="36">
        <v>0</v>
      </c>
      <c r="X498" s="26" t="s">
        <v>474</v>
      </c>
    </row>
    <row r="499" spans="1:24" x14ac:dyDescent="0.35">
      <c r="A499" s="26" t="s">
        <v>504</v>
      </c>
      <c r="B499" s="32" t="s">
        <v>505</v>
      </c>
      <c r="C499" s="26" t="s">
        <v>479</v>
      </c>
      <c r="D499" s="26" t="s">
        <v>77</v>
      </c>
      <c r="E499" s="26" t="s">
        <v>472</v>
      </c>
      <c r="F499" s="26" t="s">
        <v>30</v>
      </c>
      <c r="G499" s="26" t="s">
        <v>30</v>
      </c>
      <c r="J499" s="26" t="s">
        <v>31</v>
      </c>
      <c r="L499" s="26" t="s">
        <v>40</v>
      </c>
      <c r="N499" s="28">
        <v>45292</v>
      </c>
      <c r="O499" s="28">
        <v>45657</v>
      </c>
      <c r="P499" s="26">
        <v>52</v>
      </c>
      <c r="Q499" s="35" t="s">
        <v>49</v>
      </c>
      <c r="R499" s="29">
        <v>15000000</v>
      </c>
      <c r="S499" s="26"/>
      <c r="T499" s="29">
        <v>0</v>
      </c>
      <c r="U499" s="36">
        <v>0</v>
      </c>
      <c r="X499" s="26" t="s">
        <v>474</v>
      </c>
    </row>
    <row r="500" spans="1:24" x14ac:dyDescent="0.35">
      <c r="A500" s="26" t="s">
        <v>506</v>
      </c>
      <c r="B500" s="32" t="s">
        <v>507</v>
      </c>
      <c r="C500" s="26" t="s">
        <v>479</v>
      </c>
      <c r="D500" s="26" t="s">
        <v>109</v>
      </c>
      <c r="E500" s="26" t="s">
        <v>472</v>
      </c>
      <c r="F500" s="26" t="s">
        <v>30</v>
      </c>
      <c r="G500" s="26" t="s">
        <v>30</v>
      </c>
      <c r="J500" s="26" t="s">
        <v>31</v>
      </c>
      <c r="L500" s="26" t="s">
        <v>40</v>
      </c>
      <c r="N500" s="28">
        <v>45292</v>
      </c>
      <c r="O500" s="28">
        <v>45657</v>
      </c>
      <c r="P500" s="26">
        <v>52</v>
      </c>
      <c r="Q500" s="35" t="s">
        <v>49</v>
      </c>
      <c r="R500" s="29">
        <v>45000000</v>
      </c>
      <c r="S500" s="26"/>
      <c r="T500" s="29">
        <v>0</v>
      </c>
      <c r="U500" s="36">
        <v>0</v>
      </c>
      <c r="X500" s="26" t="s">
        <v>474</v>
      </c>
    </row>
    <row r="501" spans="1:24" x14ac:dyDescent="0.35">
      <c r="A501" s="26" t="s">
        <v>508</v>
      </c>
      <c r="B501" s="32" t="s">
        <v>509</v>
      </c>
      <c r="C501" s="26" t="s">
        <v>479</v>
      </c>
      <c r="D501" s="26" t="s">
        <v>28</v>
      </c>
      <c r="E501" s="26" t="s">
        <v>472</v>
      </c>
      <c r="F501" s="26" t="s">
        <v>30</v>
      </c>
      <c r="G501" s="26" t="s">
        <v>30</v>
      </c>
      <c r="J501" s="26" t="s">
        <v>31</v>
      </c>
      <c r="L501" s="26" t="s">
        <v>40</v>
      </c>
      <c r="N501" s="28">
        <v>45292</v>
      </c>
      <c r="O501" s="28">
        <v>45657</v>
      </c>
      <c r="P501" s="26">
        <v>52</v>
      </c>
      <c r="Q501" s="35" t="s">
        <v>49</v>
      </c>
      <c r="R501" s="29">
        <v>35000000</v>
      </c>
      <c r="S501" s="26"/>
      <c r="T501" s="29">
        <v>0</v>
      </c>
      <c r="U501" s="36">
        <v>0</v>
      </c>
      <c r="X501" s="26" t="s">
        <v>474</v>
      </c>
    </row>
    <row r="502" spans="1:24" x14ac:dyDescent="0.35">
      <c r="A502" s="26" t="s">
        <v>510</v>
      </c>
      <c r="B502" s="32" t="s">
        <v>511</v>
      </c>
      <c r="C502" s="26" t="s">
        <v>471</v>
      </c>
      <c r="D502" s="26" t="s">
        <v>512</v>
      </c>
      <c r="E502" s="26" t="s">
        <v>472</v>
      </c>
      <c r="F502" s="26" t="s">
        <v>30</v>
      </c>
      <c r="G502" s="26" t="s">
        <v>30</v>
      </c>
      <c r="J502" s="26" t="s">
        <v>31</v>
      </c>
      <c r="L502" s="26" t="s">
        <v>473</v>
      </c>
      <c r="N502" s="28">
        <v>45292</v>
      </c>
      <c r="O502" s="28">
        <v>45657</v>
      </c>
      <c r="P502" s="26">
        <v>52</v>
      </c>
      <c r="Q502" s="35" t="s">
        <v>49</v>
      </c>
      <c r="R502" s="29">
        <v>35000000</v>
      </c>
      <c r="S502" s="26"/>
      <c r="T502" s="29">
        <v>0</v>
      </c>
      <c r="U502" s="36">
        <v>0</v>
      </c>
      <c r="X502" s="26" t="s">
        <v>474</v>
      </c>
    </row>
    <row r="503" spans="1:24" x14ac:dyDescent="0.35">
      <c r="A503" s="26" t="s">
        <v>513</v>
      </c>
      <c r="B503" s="32" t="s">
        <v>514</v>
      </c>
      <c r="C503" s="26" t="s">
        <v>479</v>
      </c>
      <c r="D503" s="26" t="s">
        <v>512</v>
      </c>
      <c r="E503" s="26" t="s">
        <v>472</v>
      </c>
      <c r="F503" s="26" t="s">
        <v>30</v>
      </c>
      <c r="G503" s="26" t="s">
        <v>30</v>
      </c>
      <c r="J503" s="26" t="s">
        <v>31</v>
      </c>
      <c r="L503" s="26" t="s">
        <v>40</v>
      </c>
      <c r="N503" s="28">
        <v>45292</v>
      </c>
      <c r="O503" s="28">
        <v>45657</v>
      </c>
      <c r="P503" s="26">
        <v>52</v>
      </c>
      <c r="Q503" s="35" t="s">
        <v>49</v>
      </c>
      <c r="R503" s="29">
        <v>40000000</v>
      </c>
      <c r="S503" s="26"/>
      <c r="T503" s="29">
        <v>0</v>
      </c>
      <c r="U503" s="36">
        <v>0</v>
      </c>
      <c r="X503" s="26" t="s">
        <v>474</v>
      </c>
    </row>
    <row r="504" spans="1:24" x14ac:dyDescent="0.35">
      <c r="A504" s="26" t="s">
        <v>515</v>
      </c>
      <c r="B504" s="32" t="s">
        <v>516</v>
      </c>
      <c r="C504" s="26" t="s">
        <v>479</v>
      </c>
      <c r="D504" s="26" t="s">
        <v>306</v>
      </c>
      <c r="E504" s="26" t="s">
        <v>472</v>
      </c>
      <c r="F504" s="26" t="s">
        <v>30</v>
      </c>
      <c r="G504" s="26" t="s">
        <v>30</v>
      </c>
      <c r="J504" s="26" t="s">
        <v>31</v>
      </c>
      <c r="L504" s="26" t="s">
        <v>473</v>
      </c>
      <c r="N504" s="28">
        <v>45292</v>
      </c>
      <c r="O504" s="28">
        <v>45657</v>
      </c>
      <c r="P504" s="26">
        <v>52</v>
      </c>
      <c r="Q504" s="35" t="s">
        <v>49</v>
      </c>
      <c r="R504" s="29">
        <v>30000000</v>
      </c>
      <c r="S504" s="26"/>
      <c r="T504" s="29">
        <v>0</v>
      </c>
      <c r="U504" s="36">
        <v>0</v>
      </c>
      <c r="X504" s="26" t="s">
        <v>474</v>
      </c>
    </row>
    <row r="505" spans="1:24" x14ac:dyDescent="0.35">
      <c r="A505" s="26" t="s">
        <v>517</v>
      </c>
      <c r="B505" s="32" t="s">
        <v>518</v>
      </c>
      <c r="C505" s="26" t="s">
        <v>479</v>
      </c>
      <c r="D505" s="26" t="s">
        <v>109</v>
      </c>
      <c r="E505" s="26" t="s">
        <v>472</v>
      </c>
      <c r="F505" s="26" t="s">
        <v>30</v>
      </c>
      <c r="G505" s="26" t="s">
        <v>30</v>
      </c>
      <c r="J505" s="26" t="s">
        <v>31</v>
      </c>
      <c r="L505" s="26" t="s">
        <v>473</v>
      </c>
      <c r="N505" s="28">
        <v>45292</v>
      </c>
      <c r="O505" s="28">
        <v>45657</v>
      </c>
      <c r="P505" s="26">
        <v>52</v>
      </c>
      <c r="Q505" s="35" t="s">
        <v>49</v>
      </c>
      <c r="R505" s="29">
        <v>35000000</v>
      </c>
      <c r="S505" s="26"/>
      <c r="T505" s="29">
        <v>0</v>
      </c>
      <c r="U505" s="36">
        <v>0</v>
      </c>
      <c r="X505" s="26" t="s">
        <v>474</v>
      </c>
    </row>
    <row r="506" spans="1:24" x14ac:dyDescent="0.35">
      <c r="A506" s="26" t="s">
        <v>1793</v>
      </c>
      <c r="B506" s="32" t="s">
        <v>1794</v>
      </c>
      <c r="C506" s="26" t="s">
        <v>1795</v>
      </c>
      <c r="D506" s="26" t="s">
        <v>1567</v>
      </c>
      <c r="E506" s="26" t="s">
        <v>1109</v>
      </c>
      <c r="F506" s="26" t="s">
        <v>30</v>
      </c>
      <c r="G506" s="26" t="s">
        <v>30</v>
      </c>
      <c r="J506" s="26" t="s">
        <v>31</v>
      </c>
      <c r="L506" s="26" t="s">
        <v>32</v>
      </c>
      <c r="N506" s="28">
        <v>44935</v>
      </c>
      <c r="O506" s="28" t="s">
        <v>1796</v>
      </c>
      <c r="P506" s="26">
        <v>12</v>
      </c>
      <c r="Q506" s="35" t="s">
        <v>211</v>
      </c>
      <c r="R506" s="29">
        <v>189745539</v>
      </c>
      <c r="S506" s="26"/>
      <c r="T506" s="29">
        <v>63439106.990000002</v>
      </c>
      <c r="U506" s="36">
        <v>1</v>
      </c>
      <c r="X506" s="26" t="s">
        <v>355</v>
      </c>
    </row>
    <row r="507" spans="1:24" x14ac:dyDescent="0.35">
      <c r="A507" s="26" t="s">
        <v>1105</v>
      </c>
      <c r="B507" s="32" t="s">
        <v>1106</v>
      </c>
      <c r="C507" s="26" t="s">
        <v>1107</v>
      </c>
      <c r="D507" s="26" t="s">
        <v>1108</v>
      </c>
      <c r="E507" s="26" t="s">
        <v>1109</v>
      </c>
      <c r="F507" s="26" t="s">
        <v>30</v>
      </c>
      <c r="G507" s="26" t="s">
        <v>30</v>
      </c>
      <c r="J507" s="26" t="s">
        <v>426</v>
      </c>
      <c r="L507" s="26" t="s">
        <v>429</v>
      </c>
      <c r="N507" s="28">
        <v>45323</v>
      </c>
      <c r="O507" s="28">
        <v>45657</v>
      </c>
      <c r="P507" s="26">
        <v>48</v>
      </c>
      <c r="Q507" s="35" t="s">
        <v>49</v>
      </c>
      <c r="R507" s="29">
        <v>420000000</v>
      </c>
      <c r="S507" s="26"/>
      <c r="T507" s="29">
        <v>0</v>
      </c>
      <c r="U507" s="36">
        <v>0</v>
      </c>
      <c r="V507" s="26" t="s">
        <v>35</v>
      </c>
    </row>
    <row r="508" spans="1:24" x14ac:dyDescent="0.35">
      <c r="A508" s="26" t="s">
        <v>1110</v>
      </c>
      <c r="B508" s="32" t="s">
        <v>1111</v>
      </c>
      <c r="C508" s="26" t="s">
        <v>1112</v>
      </c>
      <c r="D508" s="26" t="s">
        <v>734</v>
      </c>
      <c r="E508" s="26" t="s">
        <v>1109</v>
      </c>
      <c r="F508" s="26" t="s">
        <v>30</v>
      </c>
      <c r="G508" s="26" t="s">
        <v>30</v>
      </c>
      <c r="J508" s="26" t="s">
        <v>426</v>
      </c>
      <c r="L508" s="26" t="s">
        <v>199</v>
      </c>
      <c r="N508" s="28">
        <v>45292</v>
      </c>
      <c r="O508" s="28">
        <v>45657</v>
      </c>
      <c r="P508" s="26">
        <v>52</v>
      </c>
      <c r="Q508" s="35" t="s">
        <v>49</v>
      </c>
      <c r="R508" s="29">
        <v>75205166</v>
      </c>
      <c r="S508" s="26"/>
      <c r="T508" s="29">
        <v>0</v>
      </c>
      <c r="U508" s="36">
        <v>0</v>
      </c>
      <c r="V508" s="26" t="s">
        <v>35</v>
      </c>
      <c r="X508" s="26" t="s">
        <v>355</v>
      </c>
    </row>
    <row r="509" spans="1:24" x14ac:dyDescent="0.35">
      <c r="A509" s="26" t="s">
        <v>1113</v>
      </c>
      <c r="B509" s="32" t="s">
        <v>1114</v>
      </c>
      <c r="C509" s="26" t="s">
        <v>1115</v>
      </c>
      <c r="D509" s="26" t="s">
        <v>1116</v>
      </c>
      <c r="E509" s="26" t="s">
        <v>1109</v>
      </c>
      <c r="F509" s="26" t="s">
        <v>30</v>
      </c>
      <c r="G509" s="26" t="s">
        <v>30</v>
      </c>
      <c r="J509" s="26" t="s">
        <v>31</v>
      </c>
      <c r="L509" s="26" t="s">
        <v>429</v>
      </c>
      <c r="N509" s="28">
        <v>45292</v>
      </c>
      <c r="O509" s="28">
        <v>45626</v>
      </c>
      <c r="P509" s="26">
        <v>48</v>
      </c>
      <c r="Q509" s="35" t="s">
        <v>49</v>
      </c>
      <c r="R509" s="29">
        <v>300000000</v>
      </c>
      <c r="S509" s="26"/>
      <c r="T509" s="29">
        <v>0</v>
      </c>
      <c r="U509" s="36">
        <v>0</v>
      </c>
      <c r="V509" s="26" t="s">
        <v>35</v>
      </c>
      <c r="X509" s="26" t="s">
        <v>355</v>
      </c>
    </row>
    <row r="510" spans="1:24" x14ac:dyDescent="0.35">
      <c r="A510" s="26" t="s">
        <v>1117</v>
      </c>
      <c r="B510" s="32" t="s">
        <v>1118</v>
      </c>
      <c r="C510" s="26" t="s">
        <v>1119</v>
      </c>
      <c r="D510" s="26" t="s">
        <v>734</v>
      </c>
      <c r="E510" s="26" t="s">
        <v>1109</v>
      </c>
      <c r="F510" s="26" t="s">
        <v>30</v>
      </c>
      <c r="G510" s="26" t="s">
        <v>30</v>
      </c>
      <c r="J510" s="26" t="s">
        <v>90</v>
      </c>
      <c r="L510" s="26" t="s">
        <v>91</v>
      </c>
      <c r="N510" s="28">
        <v>45292</v>
      </c>
      <c r="O510" s="28">
        <v>45626</v>
      </c>
      <c r="P510" s="26">
        <v>48</v>
      </c>
      <c r="Q510" s="35" t="s">
        <v>49</v>
      </c>
      <c r="R510" s="29">
        <v>90000000</v>
      </c>
      <c r="S510" s="26"/>
      <c r="T510" s="29">
        <v>0</v>
      </c>
      <c r="U510" s="36">
        <v>0</v>
      </c>
      <c r="V510" s="26" t="s">
        <v>35</v>
      </c>
      <c r="X510" s="26" t="s">
        <v>355</v>
      </c>
    </row>
    <row r="511" spans="1:24" x14ac:dyDescent="0.35">
      <c r="A511" s="26" t="s">
        <v>1120</v>
      </c>
      <c r="B511" s="32" t="s">
        <v>1121</v>
      </c>
      <c r="C511" s="26" t="s">
        <v>1122</v>
      </c>
      <c r="D511" s="26" t="s">
        <v>1123</v>
      </c>
      <c r="E511" s="26" t="s">
        <v>1109</v>
      </c>
      <c r="F511" s="26" t="s">
        <v>30</v>
      </c>
      <c r="G511" s="26" t="s">
        <v>30</v>
      </c>
      <c r="J511" s="26" t="s">
        <v>31</v>
      </c>
      <c r="L511" s="26" t="s">
        <v>32</v>
      </c>
      <c r="N511" s="28">
        <v>45261</v>
      </c>
      <c r="O511" s="28">
        <v>45473</v>
      </c>
      <c r="P511" s="26">
        <v>52</v>
      </c>
      <c r="Q511" s="35" t="s">
        <v>49</v>
      </c>
      <c r="R511" s="29">
        <v>86000000</v>
      </c>
      <c r="S511" s="26"/>
      <c r="T511" s="29">
        <v>0</v>
      </c>
      <c r="U511" s="36">
        <v>0</v>
      </c>
      <c r="V511" s="26" t="s">
        <v>730</v>
      </c>
      <c r="W511" s="26" t="s">
        <v>1124</v>
      </c>
      <c r="X511" s="26" t="s">
        <v>355</v>
      </c>
    </row>
    <row r="512" spans="1:24" x14ac:dyDescent="0.35">
      <c r="A512" s="26" t="s">
        <v>419</v>
      </c>
      <c r="B512" s="32" t="s">
        <v>420</v>
      </c>
      <c r="C512" s="26" t="s">
        <v>421</v>
      </c>
      <c r="D512" s="26" t="s">
        <v>422</v>
      </c>
      <c r="E512" s="26" t="s">
        <v>423</v>
      </c>
      <c r="F512" s="26" t="s">
        <v>30</v>
      </c>
      <c r="G512" s="26" t="s">
        <v>30</v>
      </c>
      <c r="J512" s="26" t="s">
        <v>31</v>
      </c>
      <c r="L512" s="26" t="s">
        <v>32</v>
      </c>
      <c r="N512" s="28">
        <v>45292</v>
      </c>
      <c r="O512" s="28">
        <v>45657</v>
      </c>
      <c r="P512" s="26">
        <v>52</v>
      </c>
      <c r="Q512" s="35" t="s">
        <v>49</v>
      </c>
      <c r="R512" s="29">
        <v>238390000</v>
      </c>
      <c r="S512" s="26"/>
      <c r="T512" s="29">
        <v>8000000</v>
      </c>
      <c r="U512" s="36">
        <v>3.3000000000000002E-2</v>
      </c>
      <c r="X512" s="26" t="s">
        <v>50</v>
      </c>
    </row>
    <row r="513" spans="1:24" x14ac:dyDescent="0.35">
      <c r="A513" s="26" t="s">
        <v>424</v>
      </c>
      <c r="B513" s="32" t="s">
        <v>425</v>
      </c>
      <c r="C513" s="26" t="s">
        <v>425</v>
      </c>
      <c r="D513" s="26" t="s">
        <v>422</v>
      </c>
      <c r="E513" s="26" t="s">
        <v>423</v>
      </c>
      <c r="F513" s="26" t="s">
        <v>30</v>
      </c>
      <c r="G513" s="26" t="s">
        <v>30</v>
      </c>
      <c r="J513" s="26" t="s">
        <v>426</v>
      </c>
      <c r="L513" s="26" t="s">
        <v>91</v>
      </c>
      <c r="N513" s="28">
        <v>45292</v>
      </c>
      <c r="O513" s="28">
        <v>45657</v>
      </c>
      <c r="P513" s="26">
        <v>52</v>
      </c>
      <c r="Q513" s="35" t="s">
        <v>49</v>
      </c>
      <c r="R513" s="29">
        <v>20000000</v>
      </c>
      <c r="S513" s="26"/>
      <c r="T513" s="29">
        <v>0</v>
      </c>
      <c r="U513" s="36">
        <v>0</v>
      </c>
      <c r="X513" s="26" t="s">
        <v>50</v>
      </c>
    </row>
    <row r="514" spans="1:24" x14ac:dyDescent="0.35">
      <c r="A514" s="26" t="s">
        <v>427</v>
      </c>
      <c r="B514" s="32" t="s">
        <v>428</v>
      </c>
      <c r="C514" s="26" t="s">
        <v>428</v>
      </c>
      <c r="D514" s="26" t="s">
        <v>422</v>
      </c>
      <c r="E514" s="26" t="s">
        <v>423</v>
      </c>
      <c r="F514" s="26" t="s">
        <v>30</v>
      </c>
      <c r="G514" s="26" t="s">
        <v>30</v>
      </c>
      <c r="J514" s="26" t="s">
        <v>426</v>
      </c>
      <c r="L514" s="26" t="s">
        <v>429</v>
      </c>
      <c r="N514" s="28">
        <v>45292</v>
      </c>
      <c r="O514" s="28">
        <v>45657</v>
      </c>
      <c r="P514" s="26">
        <v>52</v>
      </c>
      <c r="Q514" s="35" t="s">
        <v>49</v>
      </c>
      <c r="R514" s="29">
        <v>20000000</v>
      </c>
      <c r="S514" s="26"/>
      <c r="T514" s="29">
        <v>0</v>
      </c>
      <c r="U514" s="36">
        <v>0</v>
      </c>
      <c r="X514" s="26" t="s">
        <v>126</v>
      </c>
    </row>
    <row r="515" spans="1:24" x14ac:dyDescent="0.35">
      <c r="A515" s="26" t="s">
        <v>430</v>
      </c>
      <c r="B515" s="32" t="s">
        <v>431</v>
      </c>
      <c r="C515" s="26" t="s">
        <v>431</v>
      </c>
      <c r="D515" s="26" t="s">
        <v>422</v>
      </c>
      <c r="E515" s="26" t="s">
        <v>423</v>
      </c>
      <c r="F515" s="26" t="s">
        <v>30</v>
      </c>
      <c r="G515" s="26" t="s">
        <v>30</v>
      </c>
      <c r="J515" s="26" t="s">
        <v>426</v>
      </c>
      <c r="L515" s="26" t="s">
        <v>429</v>
      </c>
      <c r="N515" s="28">
        <v>45292</v>
      </c>
      <c r="O515" s="28">
        <v>45657</v>
      </c>
      <c r="P515" s="26">
        <v>52</v>
      </c>
      <c r="Q515" s="35" t="s">
        <v>49</v>
      </c>
      <c r="R515" s="29">
        <v>20000000</v>
      </c>
      <c r="S515" s="26"/>
      <c r="T515" s="29">
        <v>0</v>
      </c>
      <c r="U515" s="36">
        <v>0</v>
      </c>
      <c r="X515" s="26" t="s">
        <v>50</v>
      </c>
    </row>
    <row r="516" spans="1:24" x14ac:dyDescent="0.35">
      <c r="A516" s="26" t="s">
        <v>432</v>
      </c>
      <c r="B516" s="32" t="s">
        <v>433</v>
      </c>
      <c r="C516" s="26" t="s">
        <v>433</v>
      </c>
      <c r="D516" s="26" t="s">
        <v>422</v>
      </c>
      <c r="E516" s="26" t="s">
        <v>423</v>
      </c>
      <c r="F516" s="26" t="s">
        <v>30</v>
      </c>
      <c r="G516" s="26" t="s">
        <v>30</v>
      </c>
      <c r="J516" s="26" t="s">
        <v>426</v>
      </c>
      <c r="L516" s="26" t="s">
        <v>429</v>
      </c>
      <c r="N516" s="28">
        <v>45292</v>
      </c>
      <c r="O516" s="28">
        <v>45657</v>
      </c>
      <c r="P516" s="26">
        <v>52</v>
      </c>
      <c r="Q516" s="35" t="s">
        <v>49</v>
      </c>
      <c r="R516" s="29">
        <v>26000000</v>
      </c>
      <c r="S516" s="26"/>
      <c r="T516" s="29">
        <v>0</v>
      </c>
      <c r="U516" s="36">
        <v>0</v>
      </c>
      <c r="X516" s="26" t="s">
        <v>126</v>
      </c>
    </row>
    <row r="517" spans="1:24" x14ac:dyDescent="0.35">
      <c r="A517" s="26" t="s">
        <v>434</v>
      </c>
      <c r="B517" s="32" t="s">
        <v>435</v>
      </c>
      <c r="C517" s="26" t="s">
        <v>435</v>
      </c>
      <c r="D517" s="26" t="s">
        <v>422</v>
      </c>
      <c r="E517" s="26" t="s">
        <v>423</v>
      </c>
      <c r="F517" s="26" t="s">
        <v>30</v>
      </c>
      <c r="G517" s="26" t="s">
        <v>30</v>
      </c>
      <c r="J517" s="26" t="s">
        <v>426</v>
      </c>
      <c r="L517" s="26" t="s">
        <v>429</v>
      </c>
      <c r="N517" s="28">
        <v>45292</v>
      </c>
      <c r="O517" s="28">
        <v>45657</v>
      </c>
      <c r="P517" s="26">
        <v>52</v>
      </c>
      <c r="Q517" s="35" t="s">
        <v>49</v>
      </c>
      <c r="R517" s="29">
        <v>35000000</v>
      </c>
      <c r="S517" s="26"/>
      <c r="T517" s="29">
        <v>0</v>
      </c>
      <c r="U517" s="36">
        <v>0</v>
      </c>
      <c r="X517" s="26" t="s">
        <v>126</v>
      </c>
    </row>
    <row r="518" spans="1:24" x14ac:dyDescent="0.35">
      <c r="A518" s="26" t="s">
        <v>436</v>
      </c>
      <c r="B518" s="32" t="s">
        <v>437</v>
      </c>
      <c r="C518" s="26" t="s">
        <v>437</v>
      </c>
      <c r="D518" s="26" t="s">
        <v>422</v>
      </c>
      <c r="E518" s="26" t="s">
        <v>423</v>
      </c>
      <c r="F518" s="26" t="s">
        <v>30</v>
      </c>
      <c r="G518" s="26" t="s">
        <v>30</v>
      </c>
      <c r="J518" s="26" t="s">
        <v>426</v>
      </c>
      <c r="L518" s="26" t="s">
        <v>438</v>
      </c>
      <c r="N518" s="28">
        <v>45292</v>
      </c>
      <c r="O518" s="28">
        <v>45657</v>
      </c>
      <c r="P518" s="26">
        <v>52</v>
      </c>
      <c r="Q518" s="35" t="s">
        <v>49</v>
      </c>
      <c r="R518" s="29">
        <v>29138116</v>
      </c>
      <c r="S518" s="26"/>
      <c r="T518" s="29">
        <v>0</v>
      </c>
      <c r="U518" s="36">
        <v>0</v>
      </c>
      <c r="X518" s="26" t="s">
        <v>126</v>
      </c>
    </row>
    <row r="519" spans="1:24" x14ac:dyDescent="0.35">
      <c r="A519" s="26" t="s">
        <v>439</v>
      </c>
      <c r="B519" s="32" t="s">
        <v>440</v>
      </c>
      <c r="C519" s="26" t="s">
        <v>440</v>
      </c>
      <c r="D519" s="26" t="s">
        <v>422</v>
      </c>
      <c r="E519" s="26" t="s">
        <v>423</v>
      </c>
      <c r="F519" s="26" t="s">
        <v>30</v>
      </c>
      <c r="G519" s="26" t="s">
        <v>30</v>
      </c>
      <c r="J519" s="26" t="s">
        <v>426</v>
      </c>
      <c r="L519" s="26" t="s">
        <v>438</v>
      </c>
      <c r="N519" s="28">
        <v>45292</v>
      </c>
      <c r="O519" s="28">
        <v>45657</v>
      </c>
      <c r="P519" s="26">
        <v>52</v>
      </c>
      <c r="Q519" s="35" t="s">
        <v>49</v>
      </c>
      <c r="R519" s="29">
        <v>50000000</v>
      </c>
      <c r="S519" s="26"/>
      <c r="T519" s="29">
        <v>0</v>
      </c>
      <c r="U519" s="36">
        <v>0</v>
      </c>
      <c r="X519" s="26" t="s">
        <v>126</v>
      </c>
    </row>
    <row r="520" spans="1:24" x14ac:dyDescent="0.35">
      <c r="A520" s="26" t="s">
        <v>441</v>
      </c>
      <c r="B520" s="32" t="s">
        <v>442</v>
      </c>
      <c r="C520" s="26" t="s">
        <v>442</v>
      </c>
      <c r="D520" s="26" t="s">
        <v>422</v>
      </c>
      <c r="E520" s="26" t="s">
        <v>423</v>
      </c>
      <c r="F520" s="26" t="s">
        <v>30</v>
      </c>
      <c r="G520" s="26" t="s">
        <v>30</v>
      </c>
      <c r="J520" s="26" t="s">
        <v>426</v>
      </c>
      <c r="L520" s="26" t="s">
        <v>438</v>
      </c>
      <c r="N520" s="28">
        <v>45292</v>
      </c>
      <c r="O520" s="28">
        <v>45657</v>
      </c>
      <c r="P520" s="26">
        <v>52</v>
      </c>
      <c r="Q520" s="35" t="s">
        <v>49</v>
      </c>
      <c r="R520" s="29">
        <v>30000000</v>
      </c>
      <c r="S520" s="26"/>
      <c r="T520" s="29">
        <v>0</v>
      </c>
      <c r="U520" s="36">
        <v>0</v>
      </c>
      <c r="X520" s="26" t="s">
        <v>126</v>
      </c>
    </row>
    <row r="521" spans="1:24" x14ac:dyDescent="0.35">
      <c r="A521" s="26" t="s">
        <v>1025</v>
      </c>
      <c r="B521" s="32" t="s">
        <v>1026</v>
      </c>
      <c r="C521" s="26" t="s">
        <v>1027</v>
      </c>
      <c r="D521" s="26" t="s">
        <v>847</v>
      </c>
      <c r="E521" s="26" t="s">
        <v>996</v>
      </c>
      <c r="F521" s="26" t="s">
        <v>30</v>
      </c>
      <c r="G521" s="26" t="s">
        <v>30</v>
      </c>
      <c r="J521" s="26" t="s">
        <v>31</v>
      </c>
      <c r="L521" s="26" t="s">
        <v>32</v>
      </c>
      <c r="N521" s="28">
        <v>45313</v>
      </c>
      <c r="O521" s="28">
        <v>45503</v>
      </c>
      <c r="P521" s="26">
        <v>24</v>
      </c>
      <c r="Q521" s="35" t="s">
        <v>49</v>
      </c>
      <c r="R521" s="29">
        <v>3000000</v>
      </c>
      <c r="S521" s="26"/>
      <c r="T521" s="29">
        <v>0</v>
      </c>
      <c r="U521" s="36">
        <v>0</v>
      </c>
      <c r="V521" s="26" t="s">
        <v>730</v>
      </c>
      <c r="W521" s="26" t="s">
        <v>1028</v>
      </c>
      <c r="X521" s="26" t="s">
        <v>997</v>
      </c>
    </row>
    <row r="522" spans="1:24" x14ac:dyDescent="0.35">
      <c r="A522" s="26" t="s">
        <v>1006</v>
      </c>
      <c r="B522" s="32" t="s">
        <v>1007</v>
      </c>
      <c r="C522" s="26" t="s">
        <v>1008</v>
      </c>
      <c r="D522" s="26" t="s">
        <v>847</v>
      </c>
      <c r="E522" s="26" t="s">
        <v>996</v>
      </c>
      <c r="F522" s="26" t="s">
        <v>30</v>
      </c>
      <c r="G522" s="26" t="s">
        <v>30</v>
      </c>
      <c r="J522" s="26" t="s">
        <v>426</v>
      </c>
      <c r="L522" s="26" t="s">
        <v>40</v>
      </c>
      <c r="N522" s="28">
        <v>45301</v>
      </c>
      <c r="O522" s="28">
        <v>45392</v>
      </c>
      <c r="P522" s="26">
        <v>13</v>
      </c>
      <c r="Q522" s="35" t="s">
        <v>49</v>
      </c>
      <c r="R522" s="29">
        <v>67000000</v>
      </c>
      <c r="S522" s="26"/>
      <c r="T522" s="29">
        <v>0</v>
      </c>
      <c r="U522" s="36">
        <v>0</v>
      </c>
      <c r="V522" s="26" t="s">
        <v>35</v>
      </c>
      <c r="X522" s="26" t="s">
        <v>997</v>
      </c>
    </row>
    <row r="523" spans="1:24" x14ac:dyDescent="0.35">
      <c r="A523" s="26" t="s">
        <v>998</v>
      </c>
      <c r="B523" s="32" t="s">
        <v>999</v>
      </c>
      <c r="C523" s="26" t="s">
        <v>1000</v>
      </c>
      <c r="D523" s="26" t="s">
        <v>847</v>
      </c>
      <c r="E523" s="26" t="s">
        <v>996</v>
      </c>
      <c r="F523" s="26" t="s">
        <v>30</v>
      </c>
      <c r="G523" s="26" t="s">
        <v>30</v>
      </c>
      <c r="J523" s="26" t="s">
        <v>31</v>
      </c>
      <c r="L523" s="26" t="s">
        <v>32</v>
      </c>
      <c r="N523" s="28">
        <v>45327</v>
      </c>
      <c r="O523" s="28">
        <v>45448</v>
      </c>
      <c r="P523" s="26">
        <v>18</v>
      </c>
      <c r="Q523" s="35" t="s">
        <v>49</v>
      </c>
      <c r="R523" s="29">
        <v>30000000</v>
      </c>
      <c r="S523" s="26"/>
      <c r="T523" s="29">
        <v>0</v>
      </c>
      <c r="U523" s="36">
        <v>0</v>
      </c>
      <c r="V523" s="26" t="s">
        <v>730</v>
      </c>
      <c r="W523" s="26" t="s">
        <v>1001</v>
      </c>
      <c r="X523" s="26" t="s">
        <v>997</v>
      </c>
    </row>
    <row r="524" spans="1:24" x14ac:dyDescent="0.35">
      <c r="A524" s="26" t="s">
        <v>1033</v>
      </c>
      <c r="B524" s="32" t="s">
        <v>1034</v>
      </c>
      <c r="C524" s="26" t="s">
        <v>1035</v>
      </c>
      <c r="D524" s="26" t="s">
        <v>847</v>
      </c>
      <c r="E524" s="26" t="s">
        <v>996</v>
      </c>
      <c r="F524" s="26" t="s">
        <v>30</v>
      </c>
      <c r="G524" s="26" t="s">
        <v>30</v>
      </c>
      <c r="J524" s="26" t="s">
        <v>31</v>
      </c>
      <c r="L524" s="26" t="s">
        <v>32</v>
      </c>
      <c r="N524" s="28">
        <v>45299</v>
      </c>
      <c r="O524" s="28">
        <v>45512</v>
      </c>
      <c r="P524" s="26">
        <v>33</v>
      </c>
      <c r="Q524" s="35" t="s">
        <v>49</v>
      </c>
      <c r="R524" s="29">
        <v>650000000</v>
      </c>
      <c r="S524" s="26"/>
      <c r="T524" s="29">
        <v>0</v>
      </c>
      <c r="U524" s="36">
        <v>0</v>
      </c>
      <c r="V524" s="26" t="s">
        <v>730</v>
      </c>
      <c r="W524" s="26" t="s">
        <v>1036</v>
      </c>
      <c r="X524" s="26" t="s">
        <v>997</v>
      </c>
    </row>
    <row r="525" spans="1:24" x14ac:dyDescent="0.35">
      <c r="A525" s="26" t="s">
        <v>1014</v>
      </c>
      <c r="B525" s="32" t="s">
        <v>1015</v>
      </c>
      <c r="C525" s="26" t="s">
        <v>1016</v>
      </c>
      <c r="D525" s="26" t="s">
        <v>995</v>
      </c>
      <c r="E525" s="26" t="s">
        <v>996</v>
      </c>
      <c r="F525" s="26" t="s">
        <v>30</v>
      </c>
      <c r="G525" s="26" t="s">
        <v>30</v>
      </c>
      <c r="J525" s="26" t="s">
        <v>146</v>
      </c>
      <c r="L525" s="26" t="s">
        <v>164</v>
      </c>
      <c r="N525" s="28">
        <v>45332</v>
      </c>
      <c r="O525" s="28">
        <v>45641</v>
      </c>
      <c r="P525" s="26">
        <v>49</v>
      </c>
      <c r="Q525" s="35" t="s">
        <v>49</v>
      </c>
      <c r="R525" s="29">
        <v>12518000</v>
      </c>
      <c r="S525" s="26"/>
      <c r="T525" s="29">
        <v>0</v>
      </c>
      <c r="U525" s="36">
        <v>0</v>
      </c>
      <c r="V525" s="26" t="s">
        <v>35</v>
      </c>
      <c r="X525" s="26" t="s">
        <v>997</v>
      </c>
    </row>
    <row r="526" spans="1:24" ht="29" x14ac:dyDescent="0.35">
      <c r="A526" s="26" t="s">
        <v>1021</v>
      </c>
      <c r="B526" s="32" t="s">
        <v>1022</v>
      </c>
      <c r="C526" s="26" t="s">
        <v>1023</v>
      </c>
      <c r="D526" s="26" t="s">
        <v>847</v>
      </c>
      <c r="E526" s="26" t="s">
        <v>996</v>
      </c>
      <c r="F526" s="26" t="s">
        <v>30</v>
      </c>
      <c r="G526" s="26" t="s">
        <v>30</v>
      </c>
      <c r="J526" s="26" t="s">
        <v>31</v>
      </c>
      <c r="L526" s="26" t="s">
        <v>40</v>
      </c>
      <c r="N526" s="28">
        <v>45350</v>
      </c>
      <c r="O526" s="28">
        <v>45135</v>
      </c>
      <c r="P526" s="26">
        <v>21</v>
      </c>
      <c r="Q526" s="35" t="s">
        <v>49</v>
      </c>
      <c r="R526" s="29">
        <v>37000000</v>
      </c>
      <c r="S526" s="26"/>
      <c r="T526" s="29">
        <v>0</v>
      </c>
      <c r="U526" s="36">
        <v>0</v>
      </c>
      <c r="V526" s="26" t="s">
        <v>730</v>
      </c>
      <c r="W526" s="26" t="s">
        <v>1024</v>
      </c>
      <c r="X526" s="26" t="s">
        <v>997</v>
      </c>
    </row>
    <row r="527" spans="1:24" x14ac:dyDescent="0.35">
      <c r="A527" s="26" t="s">
        <v>992</v>
      </c>
      <c r="B527" s="32" t="s">
        <v>993</v>
      </c>
      <c r="C527" s="26" t="s">
        <v>994</v>
      </c>
      <c r="D527" s="26" t="s">
        <v>995</v>
      </c>
      <c r="E527" s="26" t="s">
        <v>996</v>
      </c>
      <c r="F527" s="26" t="s">
        <v>30</v>
      </c>
      <c r="G527" s="26" t="s">
        <v>30</v>
      </c>
      <c r="J527" s="26" t="s">
        <v>146</v>
      </c>
      <c r="L527" s="26" t="s">
        <v>164</v>
      </c>
      <c r="N527" s="28">
        <v>45356</v>
      </c>
      <c r="O527" s="28">
        <v>45509</v>
      </c>
      <c r="P527" s="26">
        <v>22</v>
      </c>
      <c r="Q527" s="35" t="s">
        <v>49</v>
      </c>
      <c r="R527" s="29">
        <v>10000000</v>
      </c>
      <c r="S527" s="26"/>
      <c r="T527" s="29">
        <v>0</v>
      </c>
      <c r="U527" s="36">
        <v>0</v>
      </c>
      <c r="V527" s="26" t="s">
        <v>35</v>
      </c>
      <c r="X527" s="26" t="s">
        <v>997</v>
      </c>
    </row>
    <row r="528" spans="1:24" x14ac:dyDescent="0.35">
      <c r="A528" s="26" t="s">
        <v>1002</v>
      </c>
      <c r="B528" s="32" t="s">
        <v>1003</v>
      </c>
      <c r="C528" s="26" t="s">
        <v>1004</v>
      </c>
      <c r="D528" s="26" t="s">
        <v>847</v>
      </c>
      <c r="E528" s="26" t="s">
        <v>996</v>
      </c>
      <c r="F528" s="26" t="s">
        <v>30</v>
      </c>
      <c r="G528" s="26" t="s">
        <v>30</v>
      </c>
      <c r="J528" s="26" t="s">
        <v>31</v>
      </c>
      <c r="L528" s="26" t="s">
        <v>66</v>
      </c>
      <c r="N528" s="28">
        <v>45327</v>
      </c>
      <c r="O528" s="28">
        <v>45448</v>
      </c>
      <c r="P528" s="26">
        <v>22</v>
      </c>
      <c r="Q528" s="35" t="s">
        <v>49</v>
      </c>
      <c r="R528" s="29">
        <v>31000000</v>
      </c>
      <c r="S528" s="26"/>
      <c r="T528" s="29">
        <v>0</v>
      </c>
      <c r="U528" s="36">
        <v>0</v>
      </c>
      <c r="V528" s="26" t="s">
        <v>730</v>
      </c>
      <c r="W528" s="26" t="s">
        <v>1005</v>
      </c>
      <c r="X528" s="26" t="s">
        <v>997</v>
      </c>
    </row>
    <row r="529" spans="1:25" x14ac:dyDescent="0.35">
      <c r="A529" s="26" t="s">
        <v>1009</v>
      </c>
      <c r="B529" s="32" t="s">
        <v>1010</v>
      </c>
      <c r="C529" s="26" t="s">
        <v>1011</v>
      </c>
      <c r="D529" s="26" t="s">
        <v>1012</v>
      </c>
      <c r="E529" s="26" t="s">
        <v>996</v>
      </c>
      <c r="F529" s="26" t="s">
        <v>30</v>
      </c>
      <c r="G529" s="26" t="s">
        <v>30</v>
      </c>
      <c r="J529" s="26" t="s">
        <v>31</v>
      </c>
      <c r="L529" s="26" t="s">
        <v>32</v>
      </c>
      <c r="N529" s="28">
        <v>45301</v>
      </c>
      <c r="O529" s="28">
        <v>45387</v>
      </c>
      <c r="P529" s="26">
        <v>12</v>
      </c>
      <c r="Q529" s="35" t="s">
        <v>49</v>
      </c>
      <c r="R529" s="29">
        <v>27508000</v>
      </c>
      <c r="S529" s="26"/>
      <c r="T529" s="29">
        <v>0</v>
      </c>
      <c r="U529" s="36">
        <v>0</v>
      </c>
      <c r="V529" s="26" t="s">
        <v>730</v>
      </c>
      <c r="W529" s="26" t="s">
        <v>1013</v>
      </c>
      <c r="X529" s="26" t="s">
        <v>997</v>
      </c>
    </row>
    <row r="530" spans="1:25" x14ac:dyDescent="0.35">
      <c r="A530" s="26" t="s">
        <v>1763</v>
      </c>
      <c r="B530" s="32" t="s">
        <v>1764</v>
      </c>
      <c r="C530" s="26" t="s">
        <v>1765</v>
      </c>
      <c r="D530" s="26" t="s">
        <v>117</v>
      </c>
      <c r="E530" s="26" t="s">
        <v>996</v>
      </c>
      <c r="F530" s="26" t="s">
        <v>30</v>
      </c>
      <c r="G530" s="26" t="s">
        <v>30</v>
      </c>
      <c r="J530" s="26" t="s">
        <v>146</v>
      </c>
      <c r="L530" s="26" t="s">
        <v>164</v>
      </c>
      <c r="N530" s="28">
        <v>44937</v>
      </c>
      <c r="O530" s="28">
        <v>45292</v>
      </c>
      <c r="P530" s="26">
        <v>12</v>
      </c>
      <c r="Q530" s="35" t="s">
        <v>941</v>
      </c>
      <c r="R530" s="29">
        <v>83783999.599999994</v>
      </c>
      <c r="S530" s="26"/>
      <c r="T530" s="29">
        <v>40000000</v>
      </c>
      <c r="U530" s="36">
        <v>0.48</v>
      </c>
      <c r="X530" s="26" t="s">
        <v>165</v>
      </c>
    </row>
    <row r="531" spans="1:25" x14ac:dyDescent="0.35">
      <c r="A531" s="26" t="s">
        <v>1029</v>
      </c>
      <c r="B531" s="32" t="s">
        <v>1030</v>
      </c>
      <c r="C531" s="26" t="s">
        <v>1031</v>
      </c>
      <c r="D531" s="26" t="s">
        <v>918</v>
      </c>
      <c r="E531" s="26" t="s">
        <v>996</v>
      </c>
      <c r="F531" s="26" t="s">
        <v>30</v>
      </c>
      <c r="G531" s="26" t="s">
        <v>30</v>
      </c>
      <c r="J531" s="26" t="s">
        <v>31</v>
      </c>
      <c r="L531" s="26" t="s">
        <v>32</v>
      </c>
      <c r="N531" s="28">
        <v>45299</v>
      </c>
      <c r="O531" s="28">
        <v>45512</v>
      </c>
      <c r="P531" s="26">
        <v>33</v>
      </c>
      <c r="Q531" s="35" t="s">
        <v>49</v>
      </c>
      <c r="R531" s="29">
        <v>750000000</v>
      </c>
      <c r="S531" s="26"/>
      <c r="T531" s="29">
        <v>0</v>
      </c>
      <c r="U531" s="36">
        <v>0</v>
      </c>
      <c r="V531" s="26" t="s">
        <v>730</v>
      </c>
      <c r="W531" s="26" t="s">
        <v>1032</v>
      </c>
      <c r="X531" s="26" t="s">
        <v>997</v>
      </c>
    </row>
    <row r="532" spans="1:25" x14ac:dyDescent="0.35">
      <c r="A532" s="26" t="s">
        <v>1017</v>
      </c>
      <c r="B532" s="32" t="s">
        <v>1018</v>
      </c>
      <c r="C532" s="26" t="s">
        <v>1019</v>
      </c>
      <c r="D532" s="26" t="s">
        <v>918</v>
      </c>
      <c r="E532" s="26" t="s">
        <v>996</v>
      </c>
      <c r="F532" s="26" t="s">
        <v>30</v>
      </c>
      <c r="G532" s="26" t="s">
        <v>30</v>
      </c>
      <c r="J532" s="26" t="s">
        <v>31</v>
      </c>
      <c r="L532" s="26" t="s">
        <v>32</v>
      </c>
      <c r="N532" s="28">
        <v>45356</v>
      </c>
      <c r="O532" s="28">
        <v>45512</v>
      </c>
      <c r="P532" s="26">
        <v>25</v>
      </c>
      <c r="Q532" s="35" t="s">
        <v>49</v>
      </c>
      <c r="R532" s="29">
        <v>40000000</v>
      </c>
      <c r="S532" s="26"/>
      <c r="T532" s="29">
        <v>0</v>
      </c>
      <c r="U532" s="36">
        <v>0</v>
      </c>
      <c r="V532" s="26" t="s">
        <v>730</v>
      </c>
      <c r="W532" s="26" t="s">
        <v>1020</v>
      </c>
      <c r="X532" s="26" t="s">
        <v>997</v>
      </c>
    </row>
    <row r="533" spans="1:25" x14ac:dyDescent="0.35">
      <c r="A533" s="26" t="s">
        <v>1797</v>
      </c>
      <c r="B533" s="32" t="s">
        <v>1798</v>
      </c>
      <c r="C533" s="26" t="s">
        <v>1799</v>
      </c>
      <c r="D533" s="26" t="s">
        <v>117</v>
      </c>
      <c r="E533" s="26" t="s">
        <v>996</v>
      </c>
      <c r="F533" s="26" t="s">
        <v>30</v>
      </c>
      <c r="G533" s="26" t="s">
        <v>30</v>
      </c>
      <c r="J533" s="26" t="s">
        <v>146</v>
      </c>
      <c r="L533" s="26" t="s">
        <v>164</v>
      </c>
      <c r="N533" s="28">
        <v>45292</v>
      </c>
      <c r="O533" s="28" t="s">
        <v>701</v>
      </c>
      <c r="P533" s="26">
        <v>12</v>
      </c>
      <c r="Q533" s="35" t="s">
        <v>34</v>
      </c>
      <c r="R533" s="29">
        <v>82000000</v>
      </c>
      <c r="S533" s="26"/>
      <c r="T533" s="29">
        <v>40000000</v>
      </c>
      <c r="U533" s="36">
        <v>0.4</v>
      </c>
      <c r="X533" s="26" t="s">
        <v>997</v>
      </c>
    </row>
    <row r="534" spans="1:25" x14ac:dyDescent="0.35">
      <c r="A534" s="26" t="s">
        <v>1800</v>
      </c>
      <c r="B534" s="32" t="s">
        <v>1801</v>
      </c>
      <c r="C534" s="26" t="s">
        <v>1802</v>
      </c>
      <c r="D534" s="26" t="s">
        <v>117</v>
      </c>
      <c r="E534" s="26" t="s">
        <v>996</v>
      </c>
      <c r="F534" s="26" t="s">
        <v>30</v>
      </c>
      <c r="G534" s="26" t="s">
        <v>30</v>
      </c>
      <c r="J534" s="26" t="s">
        <v>31</v>
      </c>
      <c r="L534" s="26" t="s">
        <v>32</v>
      </c>
      <c r="N534" s="28">
        <v>44967</v>
      </c>
      <c r="O534" s="28" t="s">
        <v>1722</v>
      </c>
      <c r="P534" s="26">
        <v>12</v>
      </c>
      <c r="Q534" s="35" t="s">
        <v>211</v>
      </c>
      <c r="R534" s="29">
        <v>30000000</v>
      </c>
      <c r="S534" s="26"/>
      <c r="T534" s="29">
        <v>30000000</v>
      </c>
      <c r="U534" s="36">
        <v>1</v>
      </c>
      <c r="X534" s="26" t="s">
        <v>997</v>
      </c>
    </row>
    <row r="535" spans="1:25" x14ac:dyDescent="0.35">
      <c r="A535" s="26" t="s">
        <v>1803</v>
      </c>
      <c r="B535" s="32" t="s">
        <v>1804</v>
      </c>
      <c r="C535" s="26" t="s">
        <v>1805</v>
      </c>
      <c r="D535" s="26" t="s">
        <v>117</v>
      </c>
      <c r="E535" s="26" t="s">
        <v>996</v>
      </c>
      <c r="F535" s="26" t="s">
        <v>30</v>
      </c>
      <c r="G535" s="26" t="s">
        <v>30</v>
      </c>
      <c r="J535" s="26" t="s">
        <v>146</v>
      </c>
      <c r="L535" s="26" t="s">
        <v>164</v>
      </c>
      <c r="N535" s="28">
        <v>45292</v>
      </c>
      <c r="O535" s="28" t="s">
        <v>701</v>
      </c>
      <c r="P535" s="26">
        <v>12</v>
      </c>
      <c r="Q535" s="35" t="s">
        <v>211</v>
      </c>
      <c r="R535" s="29">
        <v>5700000</v>
      </c>
      <c r="S535" s="26"/>
      <c r="T535" s="29">
        <v>5700000</v>
      </c>
      <c r="U535" s="36">
        <v>1</v>
      </c>
      <c r="X535" s="26" t="s">
        <v>997</v>
      </c>
    </row>
    <row r="536" spans="1:25" x14ac:dyDescent="0.35">
      <c r="A536" s="26" t="s">
        <v>1806</v>
      </c>
      <c r="B536" s="32" t="s">
        <v>1807</v>
      </c>
      <c r="C536" s="26" t="s">
        <v>1808</v>
      </c>
      <c r="D536" s="26" t="s">
        <v>909</v>
      </c>
      <c r="E536" s="26" t="s">
        <v>996</v>
      </c>
      <c r="F536" s="26" t="s">
        <v>30</v>
      </c>
      <c r="G536" s="26" t="s">
        <v>30</v>
      </c>
      <c r="J536" s="26" t="s">
        <v>146</v>
      </c>
      <c r="L536" s="26" t="s">
        <v>164</v>
      </c>
      <c r="N536" s="28">
        <v>45292</v>
      </c>
      <c r="O536" s="28" t="s">
        <v>701</v>
      </c>
      <c r="P536" s="26">
        <v>12</v>
      </c>
      <c r="Q536" s="35" t="s">
        <v>211</v>
      </c>
      <c r="R536" s="29">
        <v>5400000</v>
      </c>
      <c r="S536" s="26"/>
      <c r="T536" s="29">
        <v>5400000</v>
      </c>
      <c r="U536" s="36">
        <v>1</v>
      </c>
      <c r="X536" s="26" t="s">
        <v>997</v>
      </c>
    </row>
    <row r="537" spans="1:25" x14ac:dyDescent="0.35">
      <c r="A537" s="26" t="s">
        <v>1809</v>
      </c>
      <c r="B537" s="32" t="s">
        <v>1810</v>
      </c>
      <c r="C537" s="26" t="s">
        <v>1811</v>
      </c>
      <c r="D537" s="26" t="s">
        <v>117</v>
      </c>
      <c r="E537" s="26" t="s">
        <v>996</v>
      </c>
      <c r="F537" s="26" t="s">
        <v>30</v>
      </c>
      <c r="G537" s="26" t="s">
        <v>30</v>
      </c>
      <c r="J537" s="26" t="s">
        <v>90</v>
      </c>
      <c r="L537" s="26" t="s">
        <v>91</v>
      </c>
      <c r="N537" s="28">
        <v>45292</v>
      </c>
      <c r="O537" s="28" t="s">
        <v>701</v>
      </c>
      <c r="P537" s="26">
        <v>12</v>
      </c>
      <c r="Q537" s="35" t="s">
        <v>211</v>
      </c>
      <c r="R537" s="29">
        <v>13500000</v>
      </c>
      <c r="S537" s="26"/>
      <c r="T537" s="29">
        <v>13500000</v>
      </c>
      <c r="U537" s="36">
        <v>1</v>
      </c>
      <c r="X537" s="26" t="s">
        <v>997</v>
      </c>
    </row>
    <row r="538" spans="1:25" ht="29" x14ac:dyDescent="0.35">
      <c r="A538" s="26" t="s">
        <v>2537</v>
      </c>
      <c r="B538" s="32" t="s">
        <v>2533</v>
      </c>
      <c r="C538" s="26" t="s">
        <v>2534</v>
      </c>
      <c r="D538" s="26" t="s">
        <v>117</v>
      </c>
      <c r="E538" s="26" t="s">
        <v>996</v>
      </c>
      <c r="F538" s="26" t="s">
        <v>30</v>
      </c>
      <c r="G538" s="26" t="s">
        <v>30</v>
      </c>
      <c r="J538" s="26" t="s">
        <v>146</v>
      </c>
      <c r="L538" s="26" t="s">
        <v>164</v>
      </c>
      <c r="N538" s="28">
        <v>46029</v>
      </c>
      <c r="O538" s="28" t="s">
        <v>2416</v>
      </c>
      <c r="P538" s="26">
        <v>12</v>
      </c>
      <c r="Q538" s="35" t="s">
        <v>34</v>
      </c>
      <c r="R538" s="29">
        <v>70000000</v>
      </c>
      <c r="S538" s="26"/>
      <c r="T538" s="29">
        <v>65000000</v>
      </c>
      <c r="U538" s="36">
        <v>0.92859999999999998</v>
      </c>
      <c r="X538" s="26" t="s">
        <v>165</v>
      </c>
      <c r="Y538" s="26" t="s">
        <v>165</v>
      </c>
    </row>
    <row r="539" spans="1:25" x14ac:dyDescent="0.35">
      <c r="A539" s="26" t="s">
        <v>2538</v>
      </c>
      <c r="B539" s="32" t="s">
        <v>2535</v>
      </c>
      <c r="C539" s="26" t="s">
        <v>2536</v>
      </c>
      <c r="D539" s="26" t="s">
        <v>117</v>
      </c>
      <c r="E539" s="26" t="s">
        <v>996</v>
      </c>
      <c r="F539" s="26" t="s">
        <v>30</v>
      </c>
      <c r="G539" s="26" t="s">
        <v>30</v>
      </c>
      <c r="J539" s="26" t="s">
        <v>146</v>
      </c>
      <c r="L539" s="26" t="s">
        <v>164</v>
      </c>
      <c r="N539" s="28">
        <v>46029</v>
      </c>
      <c r="O539" s="28" t="s">
        <v>2416</v>
      </c>
      <c r="P539" s="26">
        <v>12</v>
      </c>
      <c r="Q539" s="35" t="s">
        <v>34</v>
      </c>
      <c r="R539" s="29">
        <v>130000000</v>
      </c>
      <c r="S539" s="26"/>
      <c r="T539" s="29">
        <v>50000000</v>
      </c>
      <c r="U539" s="36">
        <v>0.3846</v>
      </c>
      <c r="X539" s="26" t="s">
        <v>165</v>
      </c>
    </row>
    <row r="540" spans="1:25" ht="29" x14ac:dyDescent="0.35">
      <c r="A540" s="26" t="s">
        <v>1775</v>
      </c>
      <c r="B540" s="32" t="s">
        <v>1776</v>
      </c>
      <c r="C540" s="26" t="s">
        <v>1777</v>
      </c>
      <c r="D540" s="26" t="s">
        <v>28</v>
      </c>
      <c r="E540" s="26" t="s">
        <v>445</v>
      </c>
      <c r="F540" s="26" t="s">
        <v>30</v>
      </c>
      <c r="G540" s="26" t="s">
        <v>30</v>
      </c>
      <c r="J540" s="26" t="s">
        <v>31</v>
      </c>
      <c r="L540" s="26" t="s">
        <v>32</v>
      </c>
      <c r="N540" s="28">
        <v>44927</v>
      </c>
      <c r="O540" s="28" t="s">
        <v>1778</v>
      </c>
      <c r="P540" s="26">
        <v>156</v>
      </c>
      <c r="Q540" s="35" t="s">
        <v>34</v>
      </c>
      <c r="R540" s="29">
        <v>35000000000</v>
      </c>
      <c r="S540" s="26"/>
      <c r="T540" s="29">
        <v>6000000000</v>
      </c>
      <c r="U540" s="36">
        <v>0.4</v>
      </c>
      <c r="X540" s="26" t="s">
        <v>446</v>
      </c>
    </row>
    <row r="541" spans="1:25" x14ac:dyDescent="0.35">
      <c r="A541" s="26" t="s">
        <v>443</v>
      </c>
      <c r="B541" s="32" t="s">
        <v>444</v>
      </c>
      <c r="C541" s="26" t="s">
        <v>442</v>
      </c>
      <c r="D541" s="26" t="s">
        <v>28</v>
      </c>
      <c r="E541" s="26" t="s">
        <v>445</v>
      </c>
      <c r="F541" s="26" t="s">
        <v>30</v>
      </c>
      <c r="G541" s="26" t="s">
        <v>30</v>
      </c>
      <c r="J541" s="26" t="s">
        <v>31</v>
      </c>
      <c r="L541" s="26" t="s">
        <v>32</v>
      </c>
      <c r="N541" s="28">
        <v>45292</v>
      </c>
      <c r="O541" s="28">
        <v>45657</v>
      </c>
      <c r="P541" s="26">
        <v>52</v>
      </c>
      <c r="Q541" s="35" t="s">
        <v>49</v>
      </c>
      <c r="R541" s="29">
        <v>500000000</v>
      </c>
      <c r="S541" s="26"/>
      <c r="T541" s="29"/>
      <c r="U541" s="36">
        <v>0</v>
      </c>
      <c r="X541" s="26" t="s">
        <v>446</v>
      </c>
    </row>
    <row r="542" spans="1:25" x14ac:dyDescent="0.35">
      <c r="A542" s="26" t="s">
        <v>447</v>
      </c>
      <c r="B542" s="32" t="s">
        <v>448</v>
      </c>
      <c r="C542" s="26" t="s">
        <v>448</v>
      </c>
      <c r="D542" s="26" t="s">
        <v>28</v>
      </c>
      <c r="E542" s="26" t="s">
        <v>445</v>
      </c>
      <c r="F542" s="26" t="s">
        <v>30</v>
      </c>
      <c r="G542" s="26" t="s">
        <v>30</v>
      </c>
      <c r="J542" s="26" t="s">
        <v>31</v>
      </c>
      <c r="L542" s="26" t="s">
        <v>32</v>
      </c>
      <c r="N542" s="28">
        <v>45292</v>
      </c>
      <c r="O542" s="28">
        <v>45657</v>
      </c>
      <c r="P542" s="26">
        <v>52</v>
      </c>
      <c r="Q542" s="35" t="s">
        <v>49</v>
      </c>
      <c r="R542" s="29">
        <v>2000000000</v>
      </c>
      <c r="S542" s="26"/>
      <c r="T542" s="29"/>
      <c r="U542" s="36">
        <v>0</v>
      </c>
      <c r="X542" s="26" t="s">
        <v>446</v>
      </c>
    </row>
    <row r="543" spans="1:25" x14ac:dyDescent="0.35">
      <c r="A543" s="26" t="s">
        <v>449</v>
      </c>
      <c r="B543" s="32" t="s">
        <v>450</v>
      </c>
      <c r="C543" s="26" t="s">
        <v>450</v>
      </c>
      <c r="D543" s="26" t="s">
        <v>28</v>
      </c>
      <c r="E543" s="26" t="s">
        <v>445</v>
      </c>
      <c r="F543" s="26" t="s">
        <v>30</v>
      </c>
      <c r="G543" s="26" t="s">
        <v>30</v>
      </c>
      <c r="J543" s="26" t="s">
        <v>31</v>
      </c>
      <c r="L543" s="26" t="s">
        <v>32</v>
      </c>
      <c r="N543" s="28">
        <v>45292</v>
      </c>
      <c r="O543" s="28">
        <v>45657</v>
      </c>
      <c r="P543" s="26">
        <v>52</v>
      </c>
      <c r="Q543" s="35" t="s">
        <v>49</v>
      </c>
      <c r="R543" s="29">
        <v>400000000</v>
      </c>
      <c r="S543" s="26"/>
      <c r="T543" s="29"/>
      <c r="U543" s="36">
        <v>0</v>
      </c>
      <c r="X543" s="26" t="s">
        <v>446</v>
      </c>
    </row>
    <row r="544" spans="1:25" x14ac:dyDescent="0.35">
      <c r="A544" s="26" t="s">
        <v>451</v>
      </c>
      <c r="B544" s="32" t="s">
        <v>452</v>
      </c>
      <c r="C544" s="26" t="s">
        <v>452</v>
      </c>
      <c r="D544" s="26" t="s">
        <v>28</v>
      </c>
      <c r="E544" s="26" t="s">
        <v>445</v>
      </c>
      <c r="F544" s="26" t="s">
        <v>30</v>
      </c>
      <c r="G544" s="26" t="s">
        <v>30</v>
      </c>
      <c r="J544" s="26" t="s">
        <v>31</v>
      </c>
      <c r="L544" s="26" t="s">
        <v>32</v>
      </c>
      <c r="N544" s="28">
        <v>45292</v>
      </c>
      <c r="O544" s="28">
        <v>45657</v>
      </c>
      <c r="P544" s="26">
        <v>52</v>
      </c>
      <c r="Q544" s="35" t="s">
        <v>49</v>
      </c>
      <c r="R544" s="29">
        <v>245000000</v>
      </c>
      <c r="S544" s="26"/>
      <c r="T544" s="29"/>
      <c r="U544" s="36">
        <v>0</v>
      </c>
      <c r="X544" s="26" t="s">
        <v>446</v>
      </c>
    </row>
    <row r="545" spans="1:24" x14ac:dyDescent="0.35">
      <c r="A545" s="26" t="s">
        <v>453</v>
      </c>
      <c r="B545" s="32" t="s">
        <v>454</v>
      </c>
      <c r="C545" s="26" t="s">
        <v>454</v>
      </c>
      <c r="D545" s="26" t="s">
        <v>28</v>
      </c>
      <c r="E545" s="26" t="s">
        <v>445</v>
      </c>
      <c r="F545" s="26" t="s">
        <v>30</v>
      </c>
      <c r="G545" s="26" t="s">
        <v>30</v>
      </c>
      <c r="J545" s="26" t="s">
        <v>31</v>
      </c>
      <c r="L545" s="26" t="s">
        <v>32</v>
      </c>
      <c r="N545" s="28">
        <v>45292</v>
      </c>
      <c r="O545" s="28">
        <v>45657</v>
      </c>
      <c r="P545" s="26">
        <v>52</v>
      </c>
      <c r="Q545" s="35" t="s">
        <v>49</v>
      </c>
      <c r="R545" s="29">
        <v>700000000</v>
      </c>
      <c r="S545" s="26"/>
      <c r="T545" s="29"/>
      <c r="U545" s="36">
        <v>0</v>
      </c>
      <c r="X545" s="26" t="s">
        <v>446</v>
      </c>
    </row>
    <row r="546" spans="1:24" x14ac:dyDescent="0.35">
      <c r="A546" s="26" t="s">
        <v>455</v>
      </c>
      <c r="B546" s="32" t="s">
        <v>456</v>
      </c>
      <c r="C546" s="26" t="s">
        <v>456</v>
      </c>
      <c r="D546" s="26" t="s">
        <v>28</v>
      </c>
      <c r="E546" s="26" t="s">
        <v>445</v>
      </c>
      <c r="F546" s="26" t="s">
        <v>30</v>
      </c>
      <c r="G546" s="26" t="s">
        <v>30</v>
      </c>
      <c r="J546" s="26" t="s">
        <v>31</v>
      </c>
      <c r="L546" s="26" t="s">
        <v>32</v>
      </c>
      <c r="N546" s="28">
        <v>45292</v>
      </c>
      <c r="O546" s="28">
        <v>45657</v>
      </c>
      <c r="P546" s="26">
        <v>52</v>
      </c>
      <c r="Q546" s="35" t="s">
        <v>49</v>
      </c>
      <c r="R546" s="29">
        <v>150000000</v>
      </c>
      <c r="S546" s="26"/>
      <c r="T546" s="29"/>
      <c r="U546" s="36">
        <v>0</v>
      </c>
      <c r="X546" s="26" t="s">
        <v>446</v>
      </c>
    </row>
    <row r="547" spans="1:24" x14ac:dyDescent="0.35">
      <c r="A547" s="26" t="s">
        <v>457</v>
      </c>
      <c r="B547" s="32" t="s">
        <v>458</v>
      </c>
      <c r="C547" s="26" t="s">
        <v>458</v>
      </c>
      <c r="D547" s="26" t="s">
        <v>28</v>
      </c>
      <c r="E547" s="26" t="s">
        <v>445</v>
      </c>
      <c r="F547" s="26" t="s">
        <v>30</v>
      </c>
      <c r="G547" s="26" t="s">
        <v>30</v>
      </c>
      <c r="J547" s="26" t="s">
        <v>31</v>
      </c>
      <c r="L547" s="26" t="s">
        <v>32</v>
      </c>
      <c r="N547" s="28">
        <v>45292</v>
      </c>
      <c r="O547" s="28">
        <v>45657</v>
      </c>
      <c r="P547" s="26">
        <v>52</v>
      </c>
      <c r="Q547" s="35" t="s">
        <v>49</v>
      </c>
      <c r="R547" s="29">
        <v>500000000</v>
      </c>
      <c r="S547" s="26"/>
      <c r="T547" s="29"/>
      <c r="U547" s="36">
        <v>0</v>
      </c>
      <c r="X547" s="26" t="s">
        <v>446</v>
      </c>
    </row>
    <row r="548" spans="1:24" x14ac:dyDescent="0.35">
      <c r="A548" s="26" t="s">
        <v>459</v>
      </c>
      <c r="B548" s="32" t="s">
        <v>460</v>
      </c>
      <c r="C548" s="26" t="s">
        <v>460</v>
      </c>
      <c r="D548" s="26" t="s">
        <v>28</v>
      </c>
      <c r="E548" s="26" t="s">
        <v>445</v>
      </c>
      <c r="F548" s="26" t="s">
        <v>30</v>
      </c>
      <c r="G548" s="26" t="s">
        <v>30</v>
      </c>
      <c r="J548" s="26" t="s">
        <v>31</v>
      </c>
      <c r="L548" s="26" t="s">
        <v>32</v>
      </c>
      <c r="N548" s="28">
        <v>45292</v>
      </c>
      <c r="O548" s="28">
        <v>45657</v>
      </c>
      <c r="P548" s="26">
        <v>52</v>
      </c>
      <c r="Q548" s="35" t="s">
        <v>49</v>
      </c>
      <c r="R548" s="29">
        <v>220000000</v>
      </c>
      <c r="S548" s="26"/>
      <c r="T548" s="29"/>
      <c r="U548" s="36">
        <v>0</v>
      </c>
      <c r="X548" s="26" t="s">
        <v>446</v>
      </c>
    </row>
    <row r="549" spans="1:24" x14ac:dyDescent="0.35">
      <c r="A549" s="26" t="s">
        <v>461</v>
      </c>
      <c r="B549" s="32" t="s">
        <v>462</v>
      </c>
      <c r="C549" s="26" t="s">
        <v>462</v>
      </c>
      <c r="D549" s="26" t="s">
        <v>28</v>
      </c>
      <c r="E549" s="26" t="s">
        <v>445</v>
      </c>
      <c r="F549" s="26" t="s">
        <v>30</v>
      </c>
      <c r="G549" s="26" t="s">
        <v>30</v>
      </c>
      <c r="J549" s="26" t="s">
        <v>31</v>
      </c>
      <c r="L549" s="26" t="s">
        <v>32</v>
      </c>
      <c r="N549" s="28">
        <v>45292</v>
      </c>
      <c r="O549" s="28">
        <v>45657</v>
      </c>
      <c r="P549" s="26">
        <v>52</v>
      </c>
      <c r="Q549" s="35" t="s">
        <v>49</v>
      </c>
      <c r="R549" s="29">
        <v>150000000</v>
      </c>
      <c r="S549" s="26"/>
      <c r="T549" s="29"/>
      <c r="U549" s="36">
        <v>0</v>
      </c>
      <c r="X549" s="26" t="s">
        <v>463</v>
      </c>
    </row>
    <row r="550" spans="1:24" x14ac:dyDescent="0.35">
      <c r="A550" s="26" t="s">
        <v>1779</v>
      </c>
      <c r="B550" s="32" t="s">
        <v>1780</v>
      </c>
      <c r="C550" s="26" t="s">
        <v>1781</v>
      </c>
      <c r="D550" s="26" t="s">
        <v>28</v>
      </c>
      <c r="E550" s="26" t="s">
        <v>445</v>
      </c>
      <c r="F550" s="26" t="s">
        <v>30</v>
      </c>
      <c r="G550" s="26" t="s">
        <v>30</v>
      </c>
      <c r="J550" s="26" t="s">
        <v>31</v>
      </c>
      <c r="L550" s="26" t="s">
        <v>32</v>
      </c>
      <c r="N550" s="28">
        <v>44967</v>
      </c>
      <c r="O550" s="28" t="s">
        <v>701</v>
      </c>
      <c r="P550" s="26">
        <v>24</v>
      </c>
      <c r="Q550" s="35" t="s">
        <v>211</v>
      </c>
      <c r="R550" s="29">
        <v>10000000</v>
      </c>
      <c r="S550" s="26"/>
      <c r="T550" s="29">
        <v>10000000</v>
      </c>
      <c r="U550" s="36">
        <v>1</v>
      </c>
      <c r="X550" s="26" t="s">
        <v>446</v>
      </c>
    </row>
    <row r="551" spans="1:24" ht="29" x14ac:dyDescent="0.35">
      <c r="A551" s="26" t="s">
        <v>1782</v>
      </c>
      <c r="B551" s="32" t="s">
        <v>1783</v>
      </c>
      <c r="C551" s="26" t="s">
        <v>1784</v>
      </c>
      <c r="D551" s="26" t="s">
        <v>28</v>
      </c>
      <c r="E551" s="26" t="s">
        <v>445</v>
      </c>
      <c r="F551" s="26" t="s">
        <v>30</v>
      </c>
      <c r="G551" s="26" t="s">
        <v>30</v>
      </c>
      <c r="J551" s="26" t="s">
        <v>31</v>
      </c>
      <c r="L551" s="26" t="s">
        <v>32</v>
      </c>
      <c r="N551" s="28">
        <v>44967</v>
      </c>
      <c r="O551" s="28" t="s">
        <v>701</v>
      </c>
      <c r="P551" s="26">
        <v>24</v>
      </c>
      <c r="Q551" s="35" t="s">
        <v>211</v>
      </c>
      <c r="R551" s="29">
        <v>48000000</v>
      </c>
      <c r="S551" s="26"/>
      <c r="T551" s="29">
        <v>48000000</v>
      </c>
      <c r="U551" s="36">
        <v>1</v>
      </c>
      <c r="X551" s="26" t="s">
        <v>446</v>
      </c>
    </row>
    <row r="552" spans="1:24" ht="43.5" x14ac:dyDescent="0.35">
      <c r="A552" s="26" t="s">
        <v>1785</v>
      </c>
      <c r="B552" s="32" t="s">
        <v>1786</v>
      </c>
      <c r="C552" s="26" t="s">
        <v>1787</v>
      </c>
      <c r="D552" s="26" t="s">
        <v>28</v>
      </c>
      <c r="E552" s="26" t="s">
        <v>445</v>
      </c>
      <c r="F552" s="26" t="s">
        <v>30</v>
      </c>
      <c r="G552" s="26" t="s">
        <v>30</v>
      </c>
      <c r="J552" s="26" t="s">
        <v>31</v>
      </c>
      <c r="L552" s="26" t="s">
        <v>32</v>
      </c>
      <c r="N552" s="28">
        <v>44967</v>
      </c>
      <c r="O552" s="28" t="s">
        <v>701</v>
      </c>
      <c r="P552" s="26">
        <v>24</v>
      </c>
      <c r="Q552" s="35" t="s">
        <v>211</v>
      </c>
      <c r="R552" s="29">
        <v>1500000000</v>
      </c>
      <c r="S552" s="26"/>
      <c r="T552" s="29">
        <v>1307393245.8599999</v>
      </c>
      <c r="U552" s="36">
        <v>1</v>
      </c>
      <c r="X552" s="26" t="s">
        <v>446</v>
      </c>
    </row>
    <row r="553" spans="1:24" x14ac:dyDescent="0.35">
      <c r="A553" s="26" t="s">
        <v>1993</v>
      </c>
      <c r="B553" s="32" t="s">
        <v>1994</v>
      </c>
      <c r="C553" s="26" t="s">
        <v>1995</v>
      </c>
      <c r="D553" s="26" t="s">
        <v>28</v>
      </c>
      <c r="E553" s="26" t="s">
        <v>445</v>
      </c>
      <c r="F553" s="26" t="s">
        <v>30</v>
      </c>
      <c r="G553" s="26" t="s">
        <v>30</v>
      </c>
      <c r="J553" s="26" t="s">
        <v>31</v>
      </c>
      <c r="L553" s="26" t="s">
        <v>32</v>
      </c>
      <c r="N553" s="28">
        <v>45292</v>
      </c>
      <c r="O553" s="28" t="s">
        <v>1996</v>
      </c>
      <c r="P553" s="26">
        <v>104</v>
      </c>
      <c r="Q553" s="35" t="s">
        <v>34</v>
      </c>
      <c r="R553" s="29">
        <v>22600000000</v>
      </c>
      <c r="S553" s="33"/>
      <c r="T553" s="29">
        <v>16000000000</v>
      </c>
      <c r="U553" s="36">
        <v>0.95</v>
      </c>
      <c r="X553" s="26" t="s">
        <v>1997</v>
      </c>
    </row>
    <row r="554" spans="1:24" x14ac:dyDescent="0.35">
      <c r="A554" s="26" t="s">
        <v>1998</v>
      </c>
      <c r="B554" s="32" t="s">
        <v>1999</v>
      </c>
      <c r="C554" s="26" t="s">
        <v>2000</v>
      </c>
      <c r="D554" s="26" t="s">
        <v>28</v>
      </c>
      <c r="E554" s="26" t="s">
        <v>445</v>
      </c>
      <c r="F554" s="26" t="s">
        <v>30</v>
      </c>
      <c r="G554" s="26" t="s">
        <v>30</v>
      </c>
      <c r="J554" s="26" t="s">
        <v>31</v>
      </c>
      <c r="L554" s="26" t="s">
        <v>32</v>
      </c>
      <c r="N554" s="28">
        <v>45505</v>
      </c>
      <c r="O554" s="28" t="s">
        <v>210</v>
      </c>
      <c r="P554" s="26">
        <v>40</v>
      </c>
      <c r="Q554" s="35" t="s">
        <v>211</v>
      </c>
      <c r="R554" s="29">
        <v>800000000</v>
      </c>
      <c r="S554" s="33"/>
      <c r="T554" s="29">
        <v>800000000</v>
      </c>
      <c r="U554" s="36">
        <v>1</v>
      </c>
      <c r="X554" s="26" t="s">
        <v>1997</v>
      </c>
    </row>
    <row r="555" spans="1:24" x14ac:dyDescent="0.35">
      <c r="A555" s="26" t="s">
        <v>2001</v>
      </c>
      <c r="B555" s="32" t="s">
        <v>2002</v>
      </c>
      <c r="C555" s="26" t="s">
        <v>2003</v>
      </c>
      <c r="D555" s="26" t="s">
        <v>28</v>
      </c>
      <c r="E555" s="26" t="s">
        <v>445</v>
      </c>
      <c r="F555" s="26" t="s">
        <v>30</v>
      </c>
      <c r="G555" s="26" t="s">
        <v>30</v>
      </c>
      <c r="J555" s="26" t="s">
        <v>31</v>
      </c>
      <c r="L555" s="26" t="s">
        <v>32</v>
      </c>
      <c r="N555" s="28">
        <v>45108</v>
      </c>
      <c r="O555" s="28" t="s">
        <v>2004</v>
      </c>
      <c r="P555" s="26">
        <v>104</v>
      </c>
      <c r="Q555" s="35" t="s">
        <v>211</v>
      </c>
      <c r="R555" s="29">
        <v>1300000000</v>
      </c>
      <c r="S555" s="33"/>
      <c r="T555" s="29">
        <v>1300000000</v>
      </c>
      <c r="U555" s="36">
        <v>1</v>
      </c>
      <c r="X555" s="26" t="s">
        <v>1997</v>
      </c>
    </row>
    <row r="556" spans="1:24" x14ac:dyDescent="0.35">
      <c r="A556" s="26" t="s">
        <v>2005</v>
      </c>
      <c r="B556" s="32" t="s">
        <v>2006</v>
      </c>
      <c r="C556" s="26" t="s">
        <v>2007</v>
      </c>
      <c r="D556" s="26" t="s">
        <v>28</v>
      </c>
      <c r="E556" s="26" t="s">
        <v>445</v>
      </c>
      <c r="F556" s="26" t="s">
        <v>30</v>
      </c>
      <c r="G556" s="26" t="s">
        <v>30</v>
      </c>
      <c r="J556" s="26" t="s">
        <v>31</v>
      </c>
      <c r="L556" s="26" t="s">
        <v>32</v>
      </c>
      <c r="N556" s="28">
        <v>45627</v>
      </c>
      <c r="O556" s="28" t="s">
        <v>2008</v>
      </c>
      <c r="P556" s="26">
        <v>54</v>
      </c>
      <c r="Q556" s="35" t="s">
        <v>34</v>
      </c>
      <c r="R556" s="29">
        <v>140000000</v>
      </c>
      <c r="S556" s="33"/>
      <c r="T556" s="29">
        <v>112000000</v>
      </c>
      <c r="U556" s="36">
        <v>0.95</v>
      </c>
      <c r="X556" s="26" t="s">
        <v>1997</v>
      </c>
    </row>
    <row r="557" spans="1:24" x14ac:dyDescent="0.35">
      <c r="A557" s="26" t="s">
        <v>1101</v>
      </c>
      <c r="B557" s="32" t="s">
        <v>1102</v>
      </c>
      <c r="C557" s="26" t="s">
        <v>1103</v>
      </c>
      <c r="D557" s="26" t="s">
        <v>28</v>
      </c>
      <c r="E557" s="26" t="s">
        <v>521</v>
      </c>
      <c r="F557" s="26" t="s">
        <v>30</v>
      </c>
      <c r="G557" s="26" t="s">
        <v>30</v>
      </c>
      <c r="J557" s="26" t="s">
        <v>90</v>
      </c>
      <c r="L557" s="26" t="s">
        <v>467</v>
      </c>
      <c r="N557" s="28">
        <v>45293</v>
      </c>
      <c r="O557" s="28" t="s">
        <v>171</v>
      </c>
      <c r="P557" s="26">
        <v>443</v>
      </c>
      <c r="Q557" s="35" t="s">
        <v>34</v>
      </c>
      <c r="R557" s="29">
        <v>36000000000</v>
      </c>
      <c r="S557" s="26"/>
      <c r="T557" s="29">
        <v>3250000000</v>
      </c>
      <c r="U557" s="36">
        <v>0.95</v>
      </c>
      <c r="V557" s="26" t="s">
        <v>730</v>
      </c>
      <c r="W557" s="26" t="s">
        <v>1104</v>
      </c>
      <c r="X557" s="26" t="s">
        <v>522</v>
      </c>
    </row>
    <row r="558" spans="1:24" x14ac:dyDescent="0.35">
      <c r="A558" s="26" t="s">
        <v>2078</v>
      </c>
      <c r="B558" s="32" t="s">
        <v>2079</v>
      </c>
      <c r="C558" s="26" t="s">
        <v>2079</v>
      </c>
      <c r="D558" s="26" t="s">
        <v>28</v>
      </c>
      <c r="E558" s="26" t="s">
        <v>521</v>
      </c>
      <c r="F558" s="26" t="s">
        <v>30</v>
      </c>
      <c r="G558" s="26" t="s">
        <v>30</v>
      </c>
      <c r="J558" s="26" t="s">
        <v>90</v>
      </c>
      <c r="L558" s="26" t="s">
        <v>467</v>
      </c>
      <c r="N558" s="28">
        <v>45658</v>
      </c>
      <c r="O558" s="28" t="s">
        <v>2066</v>
      </c>
      <c r="P558" s="26">
        <v>24</v>
      </c>
      <c r="Q558" s="35" t="s">
        <v>211</v>
      </c>
      <c r="R558" s="41">
        <v>60000000</v>
      </c>
      <c r="S558" s="33"/>
      <c r="T558" s="29">
        <v>60000000</v>
      </c>
      <c r="U558" s="36">
        <v>1</v>
      </c>
      <c r="X558" s="26" t="s">
        <v>522</v>
      </c>
    </row>
    <row r="559" spans="1:24" x14ac:dyDescent="0.35">
      <c r="A559" s="26" t="s">
        <v>519</v>
      </c>
      <c r="B559" s="32" t="s">
        <v>520</v>
      </c>
      <c r="C559" s="26" t="s">
        <v>520</v>
      </c>
      <c r="D559" s="26" t="s">
        <v>117</v>
      </c>
      <c r="E559" s="26" t="s">
        <v>521</v>
      </c>
      <c r="F559" s="26" t="s">
        <v>30</v>
      </c>
      <c r="G559" s="26" t="s">
        <v>30</v>
      </c>
      <c r="J559" s="26" t="s">
        <v>90</v>
      </c>
      <c r="L559" s="26" t="s">
        <v>467</v>
      </c>
      <c r="N559" s="28">
        <v>45292</v>
      </c>
      <c r="O559" s="28">
        <v>45657</v>
      </c>
      <c r="P559" s="26">
        <v>52</v>
      </c>
      <c r="Q559" s="35" t="s">
        <v>49</v>
      </c>
      <c r="R559" s="29">
        <v>29000000</v>
      </c>
      <c r="S559" s="26"/>
      <c r="T559" s="29">
        <v>0</v>
      </c>
      <c r="U559" s="36">
        <v>0</v>
      </c>
      <c r="X559" s="26" t="s">
        <v>522</v>
      </c>
    </row>
    <row r="560" spans="1:24" x14ac:dyDescent="0.35">
      <c r="A560" s="26" t="s">
        <v>523</v>
      </c>
      <c r="B560" s="32" t="s">
        <v>524</v>
      </c>
      <c r="C560" s="26" t="s">
        <v>524</v>
      </c>
      <c r="D560" s="26" t="s">
        <v>28</v>
      </c>
      <c r="E560" s="26" t="s">
        <v>521</v>
      </c>
      <c r="F560" s="26" t="s">
        <v>30</v>
      </c>
      <c r="G560" s="26" t="s">
        <v>30</v>
      </c>
      <c r="J560" s="26" t="s">
        <v>90</v>
      </c>
      <c r="L560" s="26" t="s">
        <v>467</v>
      </c>
      <c r="N560" s="28">
        <v>45292</v>
      </c>
      <c r="O560" s="28">
        <v>45657</v>
      </c>
      <c r="P560" s="26">
        <v>52</v>
      </c>
      <c r="Q560" s="35" t="s">
        <v>49</v>
      </c>
      <c r="R560" s="29">
        <v>300000000</v>
      </c>
      <c r="S560" s="26"/>
      <c r="T560" s="29">
        <v>0</v>
      </c>
      <c r="U560" s="36">
        <v>0</v>
      </c>
      <c r="X560" s="26" t="s">
        <v>522</v>
      </c>
    </row>
    <row r="561" spans="1:24" x14ac:dyDescent="0.35">
      <c r="A561" s="26" t="s">
        <v>525</v>
      </c>
      <c r="B561" s="32" t="s">
        <v>526</v>
      </c>
      <c r="C561" s="26" t="s">
        <v>526</v>
      </c>
      <c r="D561" s="26" t="s">
        <v>527</v>
      </c>
      <c r="E561" s="26" t="s">
        <v>521</v>
      </c>
      <c r="F561" s="26" t="s">
        <v>30</v>
      </c>
      <c r="G561" s="26" t="s">
        <v>30</v>
      </c>
      <c r="J561" s="26" t="s">
        <v>90</v>
      </c>
      <c r="L561" s="26" t="s">
        <v>467</v>
      </c>
      <c r="N561" s="28">
        <v>45292</v>
      </c>
      <c r="O561" s="28">
        <v>45657</v>
      </c>
      <c r="P561" s="26">
        <v>52</v>
      </c>
      <c r="Q561" s="35" t="s">
        <v>49</v>
      </c>
      <c r="R561" s="29">
        <v>453805687</v>
      </c>
      <c r="S561" s="26"/>
      <c r="T561" s="29">
        <v>0</v>
      </c>
      <c r="U561" s="36">
        <v>0</v>
      </c>
      <c r="X561" s="26" t="s">
        <v>50</v>
      </c>
    </row>
    <row r="562" spans="1:24" x14ac:dyDescent="0.35">
      <c r="A562" s="26" t="s">
        <v>528</v>
      </c>
      <c r="B562" s="32" t="s">
        <v>529</v>
      </c>
      <c r="C562" s="26" t="s">
        <v>529</v>
      </c>
      <c r="D562" s="26" t="s">
        <v>28</v>
      </c>
      <c r="E562" s="26" t="s">
        <v>521</v>
      </c>
      <c r="F562" s="26" t="s">
        <v>30</v>
      </c>
      <c r="G562" s="26" t="s">
        <v>30</v>
      </c>
      <c r="J562" s="26" t="s">
        <v>90</v>
      </c>
      <c r="L562" s="26" t="s">
        <v>467</v>
      </c>
      <c r="N562" s="28">
        <v>45292</v>
      </c>
      <c r="O562" s="28">
        <v>45657</v>
      </c>
      <c r="P562" s="26">
        <v>52</v>
      </c>
      <c r="Q562" s="35" t="s">
        <v>49</v>
      </c>
      <c r="R562" s="29">
        <v>400000000</v>
      </c>
      <c r="S562" s="26"/>
      <c r="T562" s="29">
        <v>0</v>
      </c>
      <c r="U562" s="36">
        <v>0</v>
      </c>
      <c r="X562" s="26" t="s">
        <v>522</v>
      </c>
    </row>
    <row r="563" spans="1:24" x14ac:dyDescent="0.35">
      <c r="A563" s="26" t="s">
        <v>530</v>
      </c>
      <c r="B563" s="32" t="s">
        <v>531</v>
      </c>
      <c r="C563" s="26" t="s">
        <v>531</v>
      </c>
      <c r="D563" s="26" t="s">
        <v>532</v>
      </c>
      <c r="E563" s="26" t="s">
        <v>521</v>
      </c>
      <c r="F563" s="26" t="s">
        <v>30</v>
      </c>
      <c r="G563" s="26" t="s">
        <v>30</v>
      </c>
      <c r="J563" s="26" t="s">
        <v>90</v>
      </c>
      <c r="L563" s="26" t="s">
        <v>467</v>
      </c>
      <c r="N563" s="28">
        <v>45292</v>
      </c>
      <c r="O563" s="28">
        <v>45657</v>
      </c>
      <c r="P563" s="26">
        <v>52</v>
      </c>
      <c r="Q563" s="35" t="s">
        <v>49</v>
      </c>
      <c r="R563" s="29">
        <v>80000000</v>
      </c>
      <c r="S563" s="26"/>
      <c r="T563" s="29">
        <v>0</v>
      </c>
      <c r="U563" s="36">
        <v>0</v>
      </c>
      <c r="X563" s="26" t="s">
        <v>522</v>
      </c>
    </row>
    <row r="564" spans="1:24" x14ac:dyDescent="0.35">
      <c r="A564" s="26" t="s">
        <v>533</v>
      </c>
      <c r="B564" s="32" t="s">
        <v>534</v>
      </c>
      <c r="C564" s="26" t="s">
        <v>534</v>
      </c>
      <c r="D564" s="26" t="s">
        <v>306</v>
      </c>
      <c r="E564" s="26" t="s">
        <v>521</v>
      </c>
      <c r="F564" s="26" t="s">
        <v>30</v>
      </c>
      <c r="G564" s="26" t="s">
        <v>30</v>
      </c>
      <c r="J564" s="26" t="s">
        <v>90</v>
      </c>
      <c r="L564" s="26" t="s">
        <v>467</v>
      </c>
      <c r="N564" s="28">
        <v>45292</v>
      </c>
      <c r="O564" s="28">
        <v>45657</v>
      </c>
      <c r="P564" s="26">
        <v>52</v>
      </c>
      <c r="Q564" s="35" t="s">
        <v>49</v>
      </c>
      <c r="R564" s="29">
        <v>30000000</v>
      </c>
      <c r="S564" s="26"/>
      <c r="T564" s="29">
        <v>0</v>
      </c>
      <c r="U564" s="36">
        <v>0</v>
      </c>
      <c r="X564" s="26" t="s">
        <v>522</v>
      </c>
    </row>
    <row r="565" spans="1:24" x14ac:dyDescent="0.35">
      <c r="A565" s="26" t="s">
        <v>535</v>
      </c>
      <c r="B565" s="32" t="s">
        <v>536</v>
      </c>
      <c r="C565" s="26" t="s">
        <v>536</v>
      </c>
      <c r="D565" s="26" t="s">
        <v>28</v>
      </c>
      <c r="E565" s="26" t="s">
        <v>521</v>
      </c>
      <c r="F565" s="26" t="s">
        <v>30</v>
      </c>
      <c r="G565" s="26" t="s">
        <v>30</v>
      </c>
      <c r="J565" s="26" t="s">
        <v>90</v>
      </c>
      <c r="L565" s="26" t="s">
        <v>467</v>
      </c>
      <c r="N565" s="28">
        <v>45292</v>
      </c>
      <c r="O565" s="28">
        <v>45657</v>
      </c>
      <c r="P565" s="26">
        <v>52</v>
      </c>
      <c r="Q565" s="35" t="s">
        <v>49</v>
      </c>
      <c r="R565" s="29">
        <v>3000000</v>
      </c>
      <c r="S565" s="26"/>
      <c r="T565" s="29">
        <v>0</v>
      </c>
      <c r="U565" s="36">
        <v>0</v>
      </c>
      <c r="X565" s="26" t="s">
        <v>522</v>
      </c>
    </row>
    <row r="566" spans="1:24" x14ac:dyDescent="0.35">
      <c r="A566" s="26" t="s">
        <v>537</v>
      </c>
      <c r="B566" s="32" t="s">
        <v>538</v>
      </c>
      <c r="C566" s="26" t="s">
        <v>538</v>
      </c>
      <c r="D566" s="26" t="s">
        <v>28</v>
      </c>
      <c r="E566" s="26" t="s">
        <v>521</v>
      </c>
      <c r="F566" s="26" t="s">
        <v>30</v>
      </c>
      <c r="G566" s="26" t="s">
        <v>30</v>
      </c>
      <c r="J566" s="26" t="s">
        <v>90</v>
      </c>
      <c r="L566" s="26" t="s">
        <v>467</v>
      </c>
      <c r="N566" s="28">
        <v>45292</v>
      </c>
      <c r="O566" s="28">
        <v>45657</v>
      </c>
      <c r="P566" s="26">
        <v>52</v>
      </c>
      <c r="Q566" s="35" t="s">
        <v>49</v>
      </c>
      <c r="R566" s="29">
        <v>30000000</v>
      </c>
      <c r="S566" s="26"/>
      <c r="T566" s="29">
        <v>0</v>
      </c>
      <c r="U566" s="36">
        <v>0</v>
      </c>
      <c r="X566" s="26" t="s">
        <v>522</v>
      </c>
    </row>
    <row r="567" spans="1:24" x14ac:dyDescent="0.35">
      <c r="A567" s="26" t="s">
        <v>539</v>
      </c>
      <c r="B567" s="32" t="s">
        <v>540</v>
      </c>
      <c r="C567" s="26" t="s">
        <v>541</v>
      </c>
      <c r="D567" s="26" t="s">
        <v>542</v>
      </c>
      <c r="E567" s="26" t="s">
        <v>521</v>
      </c>
      <c r="F567" s="26" t="s">
        <v>30</v>
      </c>
      <c r="G567" s="26" t="s">
        <v>30</v>
      </c>
      <c r="J567" s="26" t="s">
        <v>90</v>
      </c>
      <c r="L567" s="26" t="s">
        <v>467</v>
      </c>
      <c r="N567" s="28">
        <v>45354</v>
      </c>
      <c r="O567" s="28">
        <v>45416</v>
      </c>
      <c r="P567" s="26">
        <v>4</v>
      </c>
      <c r="Q567" s="35" t="s">
        <v>34</v>
      </c>
      <c r="R567" s="29">
        <v>50000000</v>
      </c>
      <c r="S567" s="26"/>
      <c r="T567" s="29">
        <v>13000000</v>
      </c>
      <c r="U567" s="36">
        <v>0.99</v>
      </c>
      <c r="X567" s="26" t="s">
        <v>522</v>
      </c>
    </row>
    <row r="568" spans="1:24" x14ac:dyDescent="0.35">
      <c r="A568" s="26" t="s">
        <v>543</v>
      </c>
      <c r="B568" s="32" t="s">
        <v>544</v>
      </c>
      <c r="C568" s="26" t="s">
        <v>544</v>
      </c>
      <c r="D568" s="26" t="s">
        <v>117</v>
      </c>
      <c r="E568" s="26" t="s">
        <v>521</v>
      </c>
      <c r="F568" s="26" t="s">
        <v>30</v>
      </c>
      <c r="G568" s="26" t="s">
        <v>30</v>
      </c>
      <c r="J568" s="26" t="s">
        <v>90</v>
      </c>
      <c r="L568" s="26" t="s">
        <v>467</v>
      </c>
      <c r="N568" s="28">
        <v>45292</v>
      </c>
      <c r="O568" s="28">
        <v>45657</v>
      </c>
      <c r="P568" s="26">
        <v>52</v>
      </c>
      <c r="Q568" s="35" t="s">
        <v>49</v>
      </c>
      <c r="R568" s="29">
        <v>45000000</v>
      </c>
      <c r="S568" s="26"/>
      <c r="T568" s="29">
        <v>0</v>
      </c>
      <c r="U568" s="36">
        <v>0</v>
      </c>
      <c r="X568" s="26" t="s">
        <v>522</v>
      </c>
    </row>
    <row r="569" spans="1:24" x14ac:dyDescent="0.35">
      <c r="A569" s="26" t="s">
        <v>545</v>
      </c>
      <c r="B569" s="32" t="s">
        <v>531</v>
      </c>
      <c r="C569" s="26" t="s">
        <v>531</v>
      </c>
      <c r="D569" s="26" t="s">
        <v>117</v>
      </c>
      <c r="E569" s="26" t="s">
        <v>521</v>
      </c>
      <c r="F569" s="26" t="s">
        <v>30</v>
      </c>
      <c r="G569" s="26" t="s">
        <v>30</v>
      </c>
      <c r="J569" s="26" t="s">
        <v>90</v>
      </c>
      <c r="L569" s="26" t="s">
        <v>467</v>
      </c>
      <c r="N569" s="28">
        <v>45292</v>
      </c>
      <c r="O569" s="28">
        <v>45657</v>
      </c>
      <c r="P569" s="26">
        <v>52</v>
      </c>
      <c r="Q569" s="35" t="s">
        <v>49</v>
      </c>
      <c r="R569" s="29">
        <v>64034550</v>
      </c>
      <c r="S569" s="26"/>
      <c r="T569" s="29">
        <v>0</v>
      </c>
      <c r="U569" s="36">
        <v>0</v>
      </c>
      <c r="X569" s="26" t="s">
        <v>522</v>
      </c>
    </row>
    <row r="570" spans="1:24" x14ac:dyDescent="0.35">
      <c r="A570" s="26" t="s">
        <v>546</v>
      </c>
      <c r="B570" s="32" t="s">
        <v>547</v>
      </c>
      <c r="C570" s="26" t="s">
        <v>547</v>
      </c>
      <c r="D570" s="26" t="s">
        <v>548</v>
      </c>
      <c r="E570" s="26" t="s">
        <v>521</v>
      </c>
      <c r="F570" s="26" t="s">
        <v>30</v>
      </c>
      <c r="G570" s="26" t="s">
        <v>30</v>
      </c>
      <c r="J570" s="26" t="s">
        <v>90</v>
      </c>
      <c r="L570" s="26" t="s">
        <v>467</v>
      </c>
      <c r="N570" s="28">
        <v>45292</v>
      </c>
      <c r="O570" s="28">
        <v>45657</v>
      </c>
      <c r="P570" s="26">
        <v>52</v>
      </c>
      <c r="Q570" s="35" t="s">
        <v>49</v>
      </c>
      <c r="R570" s="29">
        <v>70000000</v>
      </c>
      <c r="S570" s="26"/>
      <c r="T570" s="29">
        <v>0</v>
      </c>
      <c r="U570" s="36">
        <v>0</v>
      </c>
      <c r="X570" s="26" t="s">
        <v>522</v>
      </c>
    </row>
    <row r="571" spans="1:24" x14ac:dyDescent="0.35">
      <c r="A571" s="26" t="s">
        <v>549</v>
      </c>
      <c r="B571" s="32" t="s">
        <v>550</v>
      </c>
      <c r="C571" s="26" t="s">
        <v>550</v>
      </c>
      <c r="D571" s="26" t="s">
        <v>28</v>
      </c>
      <c r="E571" s="26" t="s">
        <v>521</v>
      </c>
      <c r="F571" s="26" t="s">
        <v>30</v>
      </c>
      <c r="G571" s="26" t="s">
        <v>30</v>
      </c>
      <c r="J571" s="26" t="s">
        <v>90</v>
      </c>
      <c r="L571" s="26" t="s">
        <v>467</v>
      </c>
      <c r="N571" s="28">
        <v>45292</v>
      </c>
      <c r="O571" s="28">
        <v>45657</v>
      </c>
      <c r="P571" s="26">
        <v>52</v>
      </c>
      <c r="Q571" s="35" t="s">
        <v>49</v>
      </c>
      <c r="R571" s="29">
        <v>100000000</v>
      </c>
      <c r="S571" s="26"/>
      <c r="T571" s="29">
        <v>0</v>
      </c>
      <c r="U571" s="36">
        <v>0</v>
      </c>
      <c r="X571" s="26" t="s">
        <v>522</v>
      </c>
    </row>
    <row r="572" spans="1:24" x14ac:dyDescent="0.35">
      <c r="A572" s="26" t="s">
        <v>551</v>
      </c>
      <c r="B572" s="32" t="s">
        <v>552</v>
      </c>
      <c r="C572" s="26" t="s">
        <v>552</v>
      </c>
      <c r="D572" s="26" t="s">
        <v>28</v>
      </c>
      <c r="E572" s="26" t="s">
        <v>521</v>
      </c>
      <c r="F572" s="26" t="s">
        <v>30</v>
      </c>
      <c r="G572" s="26" t="s">
        <v>30</v>
      </c>
      <c r="J572" s="26" t="s">
        <v>90</v>
      </c>
      <c r="L572" s="26" t="s">
        <v>467</v>
      </c>
      <c r="N572" s="28">
        <v>45292</v>
      </c>
      <c r="O572" s="28">
        <v>45657</v>
      </c>
      <c r="P572" s="26">
        <v>52</v>
      </c>
      <c r="Q572" s="35" t="s">
        <v>49</v>
      </c>
      <c r="R572" s="29">
        <v>20000000</v>
      </c>
      <c r="S572" s="26"/>
      <c r="T572" s="29">
        <v>0</v>
      </c>
      <c r="U572" s="36">
        <v>0</v>
      </c>
      <c r="X572" s="26" t="s">
        <v>522</v>
      </c>
    </row>
    <row r="573" spans="1:24" x14ac:dyDescent="0.35">
      <c r="A573" s="26" t="s">
        <v>553</v>
      </c>
      <c r="B573" s="32" t="s">
        <v>554</v>
      </c>
      <c r="C573" s="26" t="s">
        <v>554</v>
      </c>
      <c r="D573" s="26" t="s">
        <v>28</v>
      </c>
      <c r="E573" s="26" t="s">
        <v>521</v>
      </c>
      <c r="F573" s="26" t="s">
        <v>30</v>
      </c>
      <c r="G573" s="26" t="s">
        <v>30</v>
      </c>
      <c r="J573" s="26" t="s">
        <v>90</v>
      </c>
      <c r="L573" s="26" t="s">
        <v>467</v>
      </c>
      <c r="N573" s="28">
        <v>45292</v>
      </c>
      <c r="O573" s="28">
        <v>45657</v>
      </c>
      <c r="P573" s="26">
        <v>52</v>
      </c>
      <c r="Q573" s="35" t="s">
        <v>49</v>
      </c>
      <c r="R573" s="29">
        <v>20000000</v>
      </c>
      <c r="S573" s="26"/>
      <c r="T573" s="29">
        <v>0</v>
      </c>
      <c r="U573" s="36">
        <v>0</v>
      </c>
      <c r="X573" s="26" t="s">
        <v>100</v>
      </c>
    </row>
    <row r="574" spans="1:24" x14ac:dyDescent="0.35">
      <c r="A574" s="26" t="s">
        <v>555</v>
      </c>
      <c r="B574" s="32" t="s">
        <v>556</v>
      </c>
      <c r="C574" s="26" t="s">
        <v>556</v>
      </c>
      <c r="D574" s="26" t="s">
        <v>28</v>
      </c>
      <c r="E574" s="26" t="s">
        <v>521</v>
      </c>
      <c r="F574" s="26" t="s">
        <v>30</v>
      </c>
      <c r="G574" s="26" t="s">
        <v>30</v>
      </c>
      <c r="J574" s="26" t="s">
        <v>90</v>
      </c>
      <c r="L574" s="26" t="s">
        <v>467</v>
      </c>
      <c r="N574" s="28">
        <v>45292</v>
      </c>
      <c r="O574" s="28">
        <v>45657</v>
      </c>
      <c r="P574" s="26">
        <v>52</v>
      </c>
      <c r="Q574" s="35" t="s">
        <v>49</v>
      </c>
      <c r="R574" s="29">
        <v>130000000</v>
      </c>
      <c r="S574" s="26"/>
      <c r="T574" s="29">
        <v>0</v>
      </c>
      <c r="U574" s="36">
        <v>0</v>
      </c>
      <c r="X574" s="26" t="s">
        <v>522</v>
      </c>
    </row>
    <row r="575" spans="1:24" x14ac:dyDescent="0.35">
      <c r="A575" s="26" t="s">
        <v>557</v>
      </c>
      <c r="B575" s="32" t="s">
        <v>558</v>
      </c>
      <c r="C575" s="26" t="s">
        <v>558</v>
      </c>
      <c r="D575" s="26" t="s">
        <v>559</v>
      </c>
      <c r="E575" s="26" t="s">
        <v>521</v>
      </c>
      <c r="F575" s="26" t="s">
        <v>30</v>
      </c>
      <c r="G575" s="26" t="s">
        <v>30</v>
      </c>
      <c r="J575" s="26" t="s">
        <v>90</v>
      </c>
      <c r="L575" s="26" t="s">
        <v>467</v>
      </c>
      <c r="N575" s="28">
        <v>45292</v>
      </c>
      <c r="O575" s="28">
        <v>45657</v>
      </c>
      <c r="P575" s="26">
        <v>52</v>
      </c>
      <c r="Q575" s="35" t="s">
        <v>49</v>
      </c>
      <c r="R575" s="29">
        <v>30000000</v>
      </c>
      <c r="S575" s="26"/>
      <c r="T575" s="29">
        <v>0</v>
      </c>
      <c r="U575" s="36">
        <v>0</v>
      </c>
      <c r="X575" s="26" t="s">
        <v>522</v>
      </c>
    </row>
    <row r="576" spans="1:24" x14ac:dyDescent="0.35">
      <c r="A576" s="26" t="s">
        <v>560</v>
      </c>
      <c r="B576" s="32" t="s">
        <v>561</v>
      </c>
      <c r="C576" s="26" t="s">
        <v>561</v>
      </c>
      <c r="D576" s="26" t="s">
        <v>117</v>
      </c>
      <c r="E576" s="26" t="s">
        <v>521</v>
      </c>
      <c r="F576" s="26" t="s">
        <v>30</v>
      </c>
      <c r="G576" s="26" t="s">
        <v>30</v>
      </c>
      <c r="J576" s="26" t="s">
        <v>90</v>
      </c>
      <c r="L576" s="26" t="s">
        <v>467</v>
      </c>
      <c r="N576" s="28">
        <v>45292</v>
      </c>
      <c r="O576" s="28">
        <v>45657</v>
      </c>
      <c r="P576" s="26">
        <v>52</v>
      </c>
      <c r="Q576" s="35" t="s">
        <v>49</v>
      </c>
      <c r="R576" s="29">
        <v>155000000</v>
      </c>
      <c r="S576" s="26"/>
      <c r="T576" s="29">
        <v>0</v>
      </c>
      <c r="U576" s="36">
        <v>0</v>
      </c>
      <c r="X576" s="26" t="s">
        <v>522</v>
      </c>
    </row>
    <row r="577" spans="1:24" x14ac:dyDescent="0.35">
      <c r="A577" s="26" t="s">
        <v>562</v>
      </c>
      <c r="B577" s="32" t="s">
        <v>563</v>
      </c>
      <c r="C577" s="26" t="s">
        <v>563</v>
      </c>
      <c r="D577" s="26" t="s">
        <v>28</v>
      </c>
      <c r="E577" s="26" t="s">
        <v>521</v>
      </c>
      <c r="F577" s="26" t="s">
        <v>30</v>
      </c>
      <c r="G577" s="26" t="s">
        <v>30</v>
      </c>
      <c r="J577" s="26" t="s">
        <v>90</v>
      </c>
      <c r="L577" s="26" t="s">
        <v>467</v>
      </c>
      <c r="N577" s="28">
        <v>45292</v>
      </c>
      <c r="O577" s="28">
        <v>45657</v>
      </c>
      <c r="P577" s="26">
        <v>52</v>
      </c>
      <c r="Q577" s="35" t="s">
        <v>49</v>
      </c>
      <c r="R577" s="29">
        <v>60500000</v>
      </c>
      <c r="S577" s="26"/>
      <c r="T577" s="29">
        <v>0</v>
      </c>
      <c r="U577" s="36">
        <v>0</v>
      </c>
      <c r="X577" s="26" t="s">
        <v>522</v>
      </c>
    </row>
    <row r="578" spans="1:24" x14ac:dyDescent="0.35">
      <c r="A578" s="26" t="s">
        <v>564</v>
      </c>
      <c r="B578" s="32" t="s">
        <v>565</v>
      </c>
      <c r="C578" s="26" t="s">
        <v>565</v>
      </c>
      <c r="D578" s="26" t="s">
        <v>566</v>
      </c>
      <c r="E578" s="26" t="s">
        <v>521</v>
      </c>
      <c r="F578" s="26" t="s">
        <v>30</v>
      </c>
      <c r="G578" s="26" t="s">
        <v>30</v>
      </c>
      <c r="J578" s="26" t="s">
        <v>90</v>
      </c>
      <c r="L578" s="26" t="s">
        <v>467</v>
      </c>
      <c r="N578" s="28">
        <v>45292</v>
      </c>
      <c r="O578" s="28">
        <v>45657</v>
      </c>
      <c r="P578" s="26">
        <v>52</v>
      </c>
      <c r="Q578" s="35" t="s">
        <v>49</v>
      </c>
      <c r="R578" s="29">
        <v>715500000</v>
      </c>
      <c r="S578" s="26"/>
      <c r="T578" s="29">
        <v>0</v>
      </c>
      <c r="U578" s="36">
        <v>0</v>
      </c>
      <c r="X578" s="26" t="s">
        <v>522</v>
      </c>
    </row>
    <row r="579" spans="1:24" x14ac:dyDescent="0.35">
      <c r="A579" s="26" t="s">
        <v>567</v>
      </c>
      <c r="B579" s="32" t="s">
        <v>568</v>
      </c>
      <c r="C579" s="26" t="s">
        <v>568</v>
      </c>
      <c r="D579" s="26" t="s">
        <v>28</v>
      </c>
      <c r="E579" s="26" t="s">
        <v>521</v>
      </c>
      <c r="F579" s="26" t="s">
        <v>30</v>
      </c>
      <c r="G579" s="26" t="s">
        <v>30</v>
      </c>
      <c r="J579" s="26" t="s">
        <v>90</v>
      </c>
      <c r="L579" s="26" t="s">
        <v>467</v>
      </c>
      <c r="N579" s="28">
        <v>45292</v>
      </c>
      <c r="O579" s="28">
        <v>45657</v>
      </c>
      <c r="P579" s="26">
        <v>52</v>
      </c>
      <c r="Q579" s="35" t="s">
        <v>49</v>
      </c>
      <c r="R579" s="29">
        <v>15000000</v>
      </c>
      <c r="S579" s="26"/>
      <c r="T579" s="29">
        <v>0</v>
      </c>
      <c r="U579" s="36">
        <v>0</v>
      </c>
      <c r="X579" s="26" t="s">
        <v>522</v>
      </c>
    </row>
    <row r="580" spans="1:24" ht="29" x14ac:dyDescent="0.35">
      <c r="A580" s="26" t="s">
        <v>2460</v>
      </c>
      <c r="B580" s="32" t="s">
        <v>2607</v>
      </c>
      <c r="C580" s="26" t="s">
        <v>2455</v>
      </c>
      <c r="D580" s="26" t="s">
        <v>117</v>
      </c>
      <c r="E580" s="26" t="s">
        <v>521</v>
      </c>
      <c r="F580" s="26" t="s">
        <v>30</v>
      </c>
      <c r="G580" s="26" t="s">
        <v>30</v>
      </c>
      <c r="J580" s="26" t="s">
        <v>90</v>
      </c>
      <c r="L580" s="26" t="s">
        <v>467</v>
      </c>
      <c r="N580" s="28">
        <v>46023</v>
      </c>
      <c r="O580" s="28" t="s">
        <v>2456</v>
      </c>
      <c r="P580" s="26">
        <v>20</v>
      </c>
      <c r="Q580" s="35" t="s">
        <v>34</v>
      </c>
      <c r="R580" s="41" t="s">
        <v>2457</v>
      </c>
      <c r="S580" s="33"/>
      <c r="T580" s="41" t="s">
        <v>2458</v>
      </c>
      <c r="U580" s="36">
        <v>0.98</v>
      </c>
      <c r="X580" s="26" t="s">
        <v>522</v>
      </c>
    </row>
    <row r="581" spans="1:24" ht="29" x14ac:dyDescent="0.35">
      <c r="A581" s="26" t="s">
        <v>2461</v>
      </c>
      <c r="B581" s="32" t="s">
        <v>2608</v>
      </c>
      <c r="C581" s="26" t="s">
        <v>2459</v>
      </c>
      <c r="D581" s="26" t="s">
        <v>28</v>
      </c>
      <c r="E581" s="26" t="s">
        <v>521</v>
      </c>
      <c r="F581" s="26" t="s">
        <v>30</v>
      </c>
      <c r="G581" s="26" t="s">
        <v>30</v>
      </c>
      <c r="J581" s="26" t="s">
        <v>90</v>
      </c>
      <c r="L581" s="26" t="s">
        <v>467</v>
      </c>
      <c r="N581" s="28">
        <v>46023</v>
      </c>
      <c r="O581" s="28" t="s">
        <v>2456</v>
      </c>
      <c r="P581" s="26">
        <v>20</v>
      </c>
      <c r="Q581" s="35" t="s">
        <v>34</v>
      </c>
      <c r="R581" s="41">
        <v>250000000</v>
      </c>
      <c r="S581" s="33"/>
      <c r="T581" s="41">
        <v>150000000</v>
      </c>
      <c r="U581" s="36">
        <v>0.88</v>
      </c>
      <c r="X581" s="26" t="s">
        <v>522</v>
      </c>
    </row>
    <row r="582" spans="1:24" x14ac:dyDescent="0.35">
      <c r="A582" s="26" t="s">
        <v>1139</v>
      </c>
      <c r="B582" s="32" t="s">
        <v>1140</v>
      </c>
      <c r="C582" s="26" t="s">
        <v>1141</v>
      </c>
      <c r="D582" s="26" t="s">
        <v>28</v>
      </c>
      <c r="E582" s="26" t="s">
        <v>696</v>
      </c>
      <c r="F582" s="26" t="s">
        <v>30</v>
      </c>
      <c r="G582" s="26" t="s">
        <v>30</v>
      </c>
      <c r="J582" s="26" t="s">
        <v>113</v>
      </c>
      <c r="L582" s="26" t="s">
        <v>1142</v>
      </c>
      <c r="N582" s="28">
        <v>45170</v>
      </c>
      <c r="O582" s="28">
        <v>45261</v>
      </c>
      <c r="P582" s="26">
        <v>16</v>
      </c>
      <c r="Q582" s="35" t="s">
        <v>49</v>
      </c>
      <c r="R582" s="29">
        <v>760071139.47000003</v>
      </c>
      <c r="S582" s="26"/>
      <c r="T582" s="29">
        <v>0</v>
      </c>
      <c r="U582" s="36">
        <v>0</v>
      </c>
      <c r="X582" s="26" t="s">
        <v>698</v>
      </c>
    </row>
    <row r="583" spans="1:24" x14ac:dyDescent="0.35">
      <c r="A583" s="26" t="s">
        <v>1125</v>
      </c>
      <c r="B583" s="32" t="s">
        <v>1126</v>
      </c>
      <c r="C583" s="26" t="s">
        <v>1126</v>
      </c>
      <c r="D583" s="26" t="s">
        <v>1127</v>
      </c>
      <c r="E583" s="26" t="s">
        <v>696</v>
      </c>
      <c r="F583" s="26" t="s">
        <v>30</v>
      </c>
      <c r="G583" s="26" t="s">
        <v>30</v>
      </c>
      <c r="J583" s="26" t="s">
        <v>113</v>
      </c>
      <c r="L583" s="26" t="s">
        <v>53</v>
      </c>
      <c r="N583" s="28">
        <v>45170</v>
      </c>
      <c r="O583" s="28">
        <v>45261</v>
      </c>
      <c r="P583" s="26">
        <v>16</v>
      </c>
      <c r="Q583" s="35" t="s">
        <v>49</v>
      </c>
      <c r="R583" s="29">
        <v>100000000</v>
      </c>
      <c r="S583" s="26"/>
      <c r="T583" s="29">
        <v>0</v>
      </c>
      <c r="U583" s="36">
        <v>0</v>
      </c>
      <c r="X583" s="26" t="s">
        <v>698</v>
      </c>
    </row>
    <row r="584" spans="1:24" x14ac:dyDescent="0.35">
      <c r="A584" s="26" t="s">
        <v>1152</v>
      </c>
      <c r="B584" s="32" t="s">
        <v>1153</v>
      </c>
      <c r="C584" s="26" t="s">
        <v>1154</v>
      </c>
      <c r="D584" s="26" t="s">
        <v>297</v>
      </c>
      <c r="E584" s="26" t="s">
        <v>696</v>
      </c>
      <c r="F584" s="26" t="s">
        <v>30</v>
      </c>
      <c r="G584" s="26" t="s">
        <v>30</v>
      </c>
      <c r="J584" s="26" t="s">
        <v>113</v>
      </c>
      <c r="L584" s="26" t="s">
        <v>53</v>
      </c>
      <c r="N584" s="28">
        <v>45170</v>
      </c>
      <c r="O584" s="28">
        <v>45261</v>
      </c>
      <c r="P584" s="26">
        <v>16</v>
      </c>
      <c r="Q584" s="35" t="s">
        <v>49</v>
      </c>
      <c r="R584" s="29">
        <v>242000000</v>
      </c>
      <c r="S584" s="26"/>
      <c r="T584" s="29">
        <v>0</v>
      </c>
      <c r="U584" s="36">
        <v>0</v>
      </c>
      <c r="X584" s="26" t="s">
        <v>698</v>
      </c>
    </row>
    <row r="585" spans="1:24" x14ac:dyDescent="0.35">
      <c r="A585" s="26" t="s">
        <v>1155</v>
      </c>
      <c r="B585" s="32" t="s">
        <v>1156</v>
      </c>
      <c r="C585" s="26" t="s">
        <v>1157</v>
      </c>
      <c r="D585" s="26" t="s">
        <v>28</v>
      </c>
      <c r="E585" s="26" t="s">
        <v>696</v>
      </c>
      <c r="F585" s="26" t="s">
        <v>30</v>
      </c>
      <c r="G585" s="26" t="s">
        <v>30</v>
      </c>
      <c r="J585" s="26" t="s">
        <v>113</v>
      </c>
      <c r="L585" s="26" t="s">
        <v>53</v>
      </c>
      <c r="N585" s="28">
        <v>45170</v>
      </c>
      <c r="O585" s="28">
        <v>45261</v>
      </c>
      <c r="P585" s="26">
        <v>16</v>
      </c>
      <c r="Q585" s="35" t="s">
        <v>49</v>
      </c>
      <c r="R585" s="29">
        <v>50000000</v>
      </c>
      <c r="S585" s="26"/>
      <c r="T585" s="29">
        <v>0</v>
      </c>
      <c r="U585" s="36">
        <v>0</v>
      </c>
      <c r="X585" s="26" t="s">
        <v>698</v>
      </c>
    </row>
    <row r="586" spans="1:24" x14ac:dyDescent="0.35">
      <c r="A586" s="26" t="s">
        <v>1158</v>
      </c>
      <c r="B586" s="32" t="s">
        <v>1159</v>
      </c>
      <c r="C586" s="26" t="s">
        <v>1160</v>
      </c>
      <c r="D586" s="26" t="s">
        <v>1161</v>
      </c>
      <c r="E586" s="26" t="s">
        <v>696</v>
      </c>
      <c r="F586" s="26" t="s">
        <v>30</v>
      </c>
      <c r="G586" s="26" t="s">
        <v>30</v>
      </c>
      <c r="J586" s="26" t="s">
        <v>113</v>
      </c>
      <c r="L586" s="26" t="s">
        <v>91</v>
      </c>
      <c r="N586" s="28">
        <v>45170</v>
      </c>
      <c r="O586" s="28">
        <v>45261</v>
      </c>
      <c r="P586" s="26">
        <v>16</v>
      </c>
      <c r="Q586" s="35" t="s">
        <v>49</v>
      </c>
      <c r="R586" s="29">
        <v>100000000</v>
      </c>
      <c r="S586" s="26"/>
      <c r="T586" s="29">
        <v>0</v>
      </c>
      <c r="U586" s="36">
        <v>0</v>
      </c>
      <c r="X586" s="26" t="s">
        <v>1131</v>
      </c>
    </row>
    <row r="587" spans="1:24" x14ac:dyDescent="0.35">
      <c r="A587" s="26" t="s">
        <v>694</v>
      </c>
      <c r="B587" s="32" t="s">
        <v>695</v>
      </c>
      <c r="C587" s="26" t="s">
        <v>695</v>
      </c>
      <c r="D587" s="26" t="s">
        <v>28</v>
      </c>
      <c r="E587" s="26" t="s">
        <v>696</v>
      </c>
      <c r="F587" s="26" t="s">
        <v>30</v>
      </c>
      <c r="G587" s="26" t="s">
        <v>30</v>
      </c>
      <c r="J587" s="26" t="s">
        <v>113</v>
      </c>
      <c r="L587" s="26" t="s">
        <v>91</v>
      </c>
      <c r="N587" s="28">
        <v>45170</v>
      </c>
      <c r="O587" s="28" t="s">
        <v>697</v>
      </c>
      <c r="P587" s="26">
        <v>52</v>
      </c>
      <c r="Q587" s="35" t="s">
        <v>211</v>
      </c>
      <c r="R587" s="29">
        <v>1151503776.4400001</v>
      </c>
      <c r="S587" s="26"/>
      <c r="T587" s="29">
        <v>2501127271.6199999</v>
      </c>
      <c r="U587" s="36">
        <v>1</v>
      </c>
      <c r="X587" s="26" t="s">
        <v>698</v>
      </c>
    </row>
    <row r="588" spans="1:24" x14ac:dyDescent="0.35">
      <c r="A588" s="26" t="s">
        <v>1146</v>
      </c>
      <c r="B588" s="32" t="s">
        <v>1147</v>
      </c>
      <c r="C588" s="26" t="s">
        <v>1148</v>
      </c>
      <c r="D588" s="26" t="s">
        <v>28</v>
      </c>
      <c r="E588" s="26" t="s">
        <v>696</v>
      </c>
      <c r="F588" s="26" t="s">
        <v>30</v>
      </c>
      <c r="G588" s="26" t="s">
        <v>30</v>
      </c>
      <c r="J588" s="26" t="s">
        <v>113</v>
      </c>
      <c r="L588" s="26" t="s">
        <v>91</v>
      </c>
      <c r="N588" s="28">
        <v>45170</v>
      </c>
      <c r="O588" s="28">
        <v>45261</v>
      </c>
      <c r="P588" s="26">
        <v>16</v>
      </c>
      <c r="Q588" s="35" t="s">
        <v>49</v>
      </c>
      <c r="R588" s="29">
        <v>60000000</v>
      </c>
      <c r="S588" s="26"/>
      <c r="T588" s="29">
        <v>0</v>
      </c>
      <c r="U588" s="36">
        <v>0</v>
      </c>
      <c r="X588" s="26" t="s">
        <v>1131</v>
      </c>
    </row>
    <row r="589" spans="1:24" x14ac:dyDescent="0.35">
      <c r="A589" s="26" t="s">
        <v>1128</v>
      </c>
      <c r="B589" s="32" t="s">
        <v>1129</v>
      </c>
      <c r="C589" s="26" t="s">
        <v>1130</v>
      </c>
      <c r="D589" s="26" t="s">
        <v>117</v>
      </c>
      <c r="E589" s="26" t="s">
        <v>696</v>
      </c>
      <c r="F589" s="26" t="s">
        <v>30</v>
      </c>
      <c r="G589" s="26" t="s">
        <v>30</v>
      </c>
      <c r="J589" s="26" t="s">
        <v>113</v>
      </c>
      <c r="L589" s="26" t="s">
        <v>91</v>
      </c>
      <c r="N589" s="28">
        <v>45170</v>
      </c>
      <c r="O589" s="28">
        <v>45261</v>
      </c>
      <c r="P589" s="26">
        <v>16</v>
      </c>
      <c r="Q589" s="35" t="s">
        <v>34</v>
      </c>
      <c r="R589" s="29">
        <v>100000000</v>
      </c>
      <c r="S589" s="26"/>
      <c r="T589" s="29">
        <v>1985000</v>
      </c>
      <c r="U589" s="36">
        <v>0.02</v>
      </c>
      <c r="X589" s="26" t="s">
        <v>1131</v>
      </c>
    </row>
    <row r="590" spans="1:24" ht="29" x14ac:dyDescent="0.35">
      <c r="A590" s="26" t="s">
        <v>1829</v>
      </c>
      <c r="B590" s="32" t="s">
        <v>1830</v>
      </c>
      <c r="C590" s="26" t="s">
        <v>1831</v>
      </c>
      <c r="D590" s="26" t="s">
        <v>28</v>
      </c>
      <c r="E590" s="26" t="s">
        <v>696</v>
      </c>
      <c r="F590" s="26" t="s">
        <v>30</v>
      </c>
      <c r="G590" s="26" t="s">
        <v>30</v>
      </c>
      <c r="J590" s="26" t="s">
        <v>90</v>
      </c>
      <c r="L590" s="26" t="s">
        <v>1142</v>
      </c>
      <c r="N590" s="28" t="s">
        <v>1832</v>
      </c>
      <c r="O590" s="28" t="s">
        <v>1832</v>
      </c>
      <c r="P590" s="26">
        <v>1</v>
      </c>
      <c r="Q590" s="35" t="s">
        <v>211</v>
      </c>
      <c r="R590" s="29">
        <v>5000000</v>
      </c>
      <c r="S590" s="26"/>
      <c r="T590" s="29">
        <v>5000000</v>
      </c>
      <c r="U590" s="36">
        <v>1</v>
      </c>
      <c r="X590" s="26" t="s">
        <v>1135</v>
      </c>
    </row>
    <row r="591" spans="1:24" x14ac:dyDescent="0.35">
      <c r="A591" s="26" t="s">
        <v>1143</v>
      </c>
      <c r="B591" s="32" t="s">
        <v>1144</v>
      </c>
      <c r="C591" s="26" t="s">
        <v>1145</v>
      </c>
      <c r="D591" s="26" t="s">
        <v>909</v>
      </c>
      <c r="E591" s="26" t="s">
        <v>696</v>
      </c>
      <c r="F591" s="26" t="s">
        <v>30</v>
      </c>
      <c r="G591" s="26" t="s">
        <v>30</v>
      </c>
      <c r="J591" s="26" t="s">
        <v>113</v>
      </c>
      <c r="L591" s="26" t="s">
        <v>53</v>
      </c>
      <c r="N591" s="28">
        <v>45292</v>
      </c>
      <c r="O591" s="28">
        <v>45565</v>
      </c>
      <c r="P591" s="26">
        <v>36</v>
      </c>
      <c r="Q591" s="35" t="s">
        <v>49</v>
      </c>
      <c r="R591" s="29">
        <v>50000000</v>
      </c>
      <c r="S591" s="26"/>
      <c r="T591" s="29">
        <v>0</v>
      </c>
      <c r="U591" s="36">
        <v>0</v>
      </c>
      <c r="X591" s="26" t="s">
        <v>1131</v>
      </c>
    </row>
    <row r="592" spans="1:24" x14ac:dyDescent="0.35">
      <c r="A592" s="26" t="s">
        <v>1162</v>
      </c>
      <c r="B592" s="32" t="s">
        <v>1163</v>
      </c>
      <c r="C592" s="26" t="s">
        <v>1164</v>
      </c>
      <c r="D592" s="26" t="s">
        <v>847</v>
      </c>
      <c r="E592" s="26" t="s">
        <v>696</v>
      </c>
      <c r="F592" s="26" t="s">
        <v>30</v>
      </c>
      <c r="G592" s="26" t="s">
        <v>30</v>
      </c>
      <c r="J592" s="26" t="s">
        <v>90</v>
      </c>
      <c r="L592" s="26" t="s">
        <v>1142</v>
      </c>
      <c r="N592" s="28">
        <v>45292</v>
      </c>
      <c r="O592" s="28">
        <v>45566</v>
      </c>
      <c r="P592" s="26">
        <v>36</v>
      </c>
      <c r="Q592" s="35" t="s">
        <v>49</v>
      </c>
      <c r="R592" s="29">
        <v>70000000</v>
      </c>
      <c r="S592" s="26"/>
      <c r="T592" s="29">
        <v>0</v>
      </c>
      <c r="U592" s="36">
        <v>0</v>
      </c>
      <c r="X592" s="26" t="s">
        <v>1135</v>
      </c>
    </row>
    <row r="593" spans="1:24" x14ac:dyDescent="0.35">
      <c r="A593" s="26" t="s">
        <v>1136</v>
      </c>
      <c r="B593" s="32" t="s">
        <v>1137</v>
      </c>
      <c r="C593" s="26" t="s">
        <v>1138</v>
      </c>
      <c r="D593" s="26" t="s">
        <v>734</v>
      </c>
      <c r="E593" s="26" t="s">
        <v>696</v>
      </c>
      <c r="F593" s="26" t="s">
        <v>30</v>
      </c>
      <c r="G593" s="26" t="s">
        <v>30</v>
      </c>
      <c r="J593" s="26" t="s">
        <v>31</v>
      </c>
      <c r="L593" s="26" t="s">
        <v>53</v>
      </c>
      <c r="N593" s="28">
        <v>45292</v>
      </c>
      <c r="O593" s="28">
        <v>45567</v>
      </c>
      <c r="P593" s="26">
        <v>36</v>
      </c>
      <c r="Q593" s="35" t="s">
        <v>49</v>
      </c>
      <c r="R593" s="29">
        <v>150000000</v>
      </c>
      <c r="S593" s="26"/>
      <c r="T593" s="29">
        <v>0</v>
      </c>
      <c r="U593" s="36">
        <v>0</v>
      </c>
      <c r="X593" s="26" t="s">
        <v>1135</v>
      </c>
    </row>
    <row r="594" spans="1:24" x14ac:dyDescent="0.35">
      <c r="A594" s="26" t="s">
        <v>1149</v>
      </c>
      <c r="B594" s="32" t="s">
        <v>1150</v>
      </c>
      <c r="C594" s="26" t="s">
        <v>1151</v>
      </c>
      <c r="D594" s="26" t="s">
        <v>847</v>
      </c>
      <c r="E594" s="26" t="s">
        <v>696</v>
      </c>
      <c r="F594" s="26" t="s">
        <v>30</v>
      </c>
      <c r="G594" s="26" t="s">
        <v>30</v>
      </c>
      <c r="J594" s="26" t="s">
        <v>113</v>
      </c>
      <c r="L594" s="26" t="s">
        <v>40</v>
      </c>
      <c r="N594" s="28">
        <v>45292</v>
      </c>
      <c r="O594" s="28">
        <v>45568</v>
      </c>
      <c r="P594" s="26">
        <v>36</v>
      </c>
      <c r="Q594" s="35" t="s">
        <v>34</v>
      </c>
      <c r="R594" s="29">
        <v>301000000</v>
      </c>
      <c r="S594" s="26"/>
      <c r="T594" s="29">
        <v>69033000</v>
      </c>
      <c r="U594" s="36">
        <v>0.3</v>
      </c>
      <c r="X594" s="26" t="s">
        <v>900</v>
      </c>
    </row>
    <row r="595" spans="1:24" x14ac:dyDescent="0.35">
      <c r="A595" s="26" t="s">
        <v>1132</v>
      </c>
      <c r="B595" s="32" t="s">
        <v>1133</v>
      </c>
      <c r="C595" s="26" t="s">
        <v>1134</v>
      </c>
      <c r="D595" s="26" t="s">
        <v>734</v>
      </c>
      <c r="E595" s="26" t="s">
        <v>696</v>
      </c>
      <c r="F595" s="26" t="s">
        <v>30</v>
      </c>
      <c r="G595" s="26" t="s">
        <v>30</v>
      </c>
      <c r="J595" s="26" t="s">
        <v>113</v>
      </c>
      <c r="L595" s="26" t="s">
        <v>91</v>
      </c>
      <c r="N595" s="28">
        <v>45292</v>
      </c>
      <c r="O595" s="28">
        <v>45569</v>
      </c>
      <c r="P595" s="26">
        <v>36</v>
      </c>
      <c r="Q595" s="35" t="s">
        <v>34</v>
      </c>
      <c r="R595" s="29">
        <v>100000000</v>
      </c>
      <c r="S595" s="26"/>
      <c r="T595" s="29">
        <v>10300000</v>
      </c>
      <c r="U595" s="36">
        <v>0.02</v>
      </c>
      <c r="X595" s="26" t="s">
        <v>1135</v>
      </c>
    </row>
    <row r="596" spans="1:24" x14ac:dyDescent="0.35">
      <c r="A596" s="26" t="s">
        <v>1833</v>
      </c>
      <c r="B596" s="32" t="s">
        <v>1834</v>
      </c>
      <c r="C596" s="26" t="s">
        <v>1831</v>
      </c>
      <c r="D596" s="26" t="s">
        <v>28</v>
      </c>
      <c r="E596" s="26" t="s">
        <v>696</v>
      </c>
      <c r="F596" s="26" t="s">
        <v>30</v>
      </c>
      <c r="G596" s="26" t="s">
        <v>30</v>
      </c>
      <c r="J596" s="26" t="s">
        <v>90</v>
      </c>
      <c r="L596" s="26" t="s">
        <v>1142</v>
      </c>
      <c r="N596" s="28">
        <v>45292</v>
      </c>
      <c r="O596" s="28" t="s">
        <v>33</v>
      </c>
      <c r="P596" s="26">
        <v>52</v>
      </c>
      <c r="Q596" s="35" t="s">
        <v>211</v>
      </c>
      <c r="R596" s="29">
        <v>5000001</v>
      </c>
      <c r="S596" s="26"/>
      <c r="T596" s="29">
        <v>5000001</v>
      </c>
      <c r="U596" s="36">
        <v>1</v>
      </c>
      <c r="X596" s="26" t="s">
        <v>1135</v>
      </c>
    </row>
    <row r="597" spans="1:24" x14ac:dyDescent="0.35">
      <c r="A597" s="26" t="s">
        <v>1835</v>
      </c>
      <c r="B597" s="32" t="s">
        <v>1836</v>
      </c>
      <c r="C597" s="26" t="s">
        <v>1837</v>
      </c>
      <c r="D597" s="26" t="s">
        <v>28</v>
      </c>
      <c r="E597" s="26" t="s">
        <v>696</v>
      </c>
      <c r="F597" s="26" t="s">
        <v>30</v>
      </c>
      <c r="G597" s="26" t="s">
        <v>30</v>
      </c>
      <c r="J597" s="26" t="s">
        <v>90</v>
      </c>
      <c r="L597" s="26" t="s">
        <v>1142</v>
      </c>
      <c r="N597" s="28" t="s">
        <v>1838</v>
      </c>
      <c r="O597" s="28" t="s">
        <v>1839</v>
      </c>
      <c r="P597" s="26">
        <v>1</v>
      </c>
      <c r="Q597" s="35" t="s">
        <v>211</v>
      </c>
      <c r="R597" s="29">
        <v>6321750</v>
      </c>
      <c r="S597" s="26"/>
      <c r="T597" s="29">
        <v>6321750</v>
      </c>
      <c r="U597" s="36">
        <v>1</v>
      </c>
      <c r="X597" s="26" t="s">
        <v>1135</v>
      </c>
    </row>
    <row r="598" spans="1:24" x14ac:dyDescent="0.35">
      <c r="A598" s="26" t="s">
        <v>1840</v>
      </c>
      <c r="B598" s="32" t="s">
        <v>1841</v>
      </c>
      <c r="C598" s="26" t="s">
        <v>1842</v>
      </c>
      <c r="D598" s="26" t="s">
        <v>28</v>
      </c>
      <c r="E598" s="26" t="s">
        <v>696</v>
      </c>
      <c r="F598" s="26" t="s">
        <v>30</v>
      </c>
      <c r="G598" s="26" t="s">
        <v>30</v>
      </c>
      <c r="J598" s="26" t="s">
        <v>90</v>
      </c>
      <c r="L598" s="26" t="s">
        <v>1142</v>
      </c>
      <c r="N598" s="28">
        <v>45294</v>
      </c>
      <c r="O598" s="28" t="s">
        <v>680</v>
      </c>
      <c r="P598" s="26">
        <v>8</v>
      </c>
      <c r="Q598" s="35" t="s">
        <v>211</v>
      </c>
      <c r="R598" s="29">
        <v>100000000</v>
      </c>
      <c r="S598" s="26"/>
      <c r="T598" s="29">
        <v>100000000</v>
      </c>
      <c r="U598" s="36">
        <v>1</v>
      </c>
      <c r="X598" s="26" t="s">
        <v>1135</v>
      </c>
    </row>
    <row r="599" spans="1:24" x14ac:dyDescent="0.35">
      <c r="A599" s="26" t="s">
        <v>1843</v>
      </c>
      <c r="B599" s="32" t="s">
        <v>1844</v>
      </c>
      <c r="C599" s="32" t="s">
        <v>1844</v>
      </c>
      <c r="D599" s="26" t="s">
        <v>28</v>
      </c>
      <c r="E599" s="26" t="s">
        <v>696</v>
      </c>
      <c r="F599" s="26" t="s">
        <v>30</v>
      </c>
      <c r="G599" s="26" t="s">
        <v>30</v>
      </c>
      <c r="J599" s="26" t="s">
        <v>90</v>
      </c>
      <c r="L599" s="26" t="s">
        <v>1142</v>
      </c>
      <c r="N599" s="28">
        <v>45507</v>
      </c>
      <c r="O599" s="28">
        <v>45507</v>
      </c>
      <c r="P599" s="26">
        <v>1</v>
      </c>
      <c r="Q599" s="35" t="s">
        <v>211</v>
      </c>
      <c r="R599" s="29">
        <v>9700000</v>
      </c>
      <c r="S599" s="26"/>
      <c r="T599" s="29">
        <v>9700000</v>
      </c>
      <c r="U599" s="36">
        <v>1</v>
      </c>
      <c r="X599" s="26" t="s">
        <v>1135</v>
      </c>
    </row>
    <row r="600" spans="1:24" x14ac:dyDescent="0.35">
      <c r="A600" s="26" t="s">
        <v>1845</v>
      </c>
      <c r="B600" s="32" t="s">
        <v>1846</v>
      </c>
      <c r="C600" s="26" t="s">
        <v>1847</v>
      </c>
      <c r="D600" s="26" t="s">
        <v>909</v>
      </c>
      <c r="E600" s="26" t="s">
        <v>696</v>
      </c>
      <c r="F600" s="26" t="s">
        <v>30</v>
      </c>
      <c r="G600" s="26" t="s">
        <v>30</v>
      </c>
      <c r="J600" s="26" t="s">
        <v>113</v>
      </c>
      <c r="L600" s="26" t="s">
        <v>1142</v>
      </c>
      <c r="N600" s="28">
        <v>45394</v>
      </c>
      <c r="O600" s="28">
        <v>45547</v>
      </c>
      <c r="P600" s="26">
        <v>2</v>
      </c>
      <c r="Q600" s="35" t="s">
        <v>211</v>
      </c>
      <c r="R600" s="29">
        <v>11387500</v>
      </c>
      <c r="S600" s="26"/>
      <c r="T600" s="29">
        <v>11387500</v>
      </c>
      <c r="U600" s="36">
        <v>1</v>
      </c>
      <c r="X600" s="26" t="s">
        <v>1135</v>
      </c>
    </row>
    <row r="601" spans="1:24" x14ac:dyDescent="0.35">
      <c r="A601" s="26" t="s">
        <v>1848</v>
      </c>
      <c r="B601" s="32" t="s">
        <v>1849</v>
      </c>
      <c r="C601" s="26" t="s">
        <v>1850</v>
      </c>
      <c r="D601" s="26" t="s">
        <v>909</v>
      </c>
      <c r="E601" s="26" t="s">
        <v>696</v>
      </c>
      <c r="F601" s="26" t="s">
        <v>30</v>
      </c>
      <c r="G601" s="26" t="s">
        <v>30</v>
      </c>
      <c r="J601" s="26" t="s">
        <v>113</v>
      </c>
      <c r="L601" s="26" t="s">
        <v>1142</v>
      </c>
      <c r="N601" s="28">
        <v>45599</v>
      </c>
      <c r="O601" s="28" t="s">
        <v>1851</v>
      </c>
      <c r="P601" s="26">
        <v>2</v>
      </c>
      <c r="Q601" s="35" t="s">
        <v>211</v>
      </c>
      <c r="R601" s="29">
        <v>30000000</v>
      </c>
      <c r="S601" s="26"/>
      <c r="T601" s="29">
        <v>30000000</v>
      </c>
      <c r="U601" s="36">
        <v>1</v>
      </c>
      <c r="X601" s="26" t="s">
        <v>698</v>
      </c>
    </row>
    <row r="602" spans="1:24" x14ac:dyDescent="0.35">
      <c r="A602" s="26" t="s">
        <v>1852</v>
      </c>
      <c r="B602" s="32" t="s">
        <v>1853</v>
      </c>
      <c r="C602" s="32" t="s">
        <v>1853</v>
      </c>
      <c r="D602" s="26" t="s">
        <v>28</v>
      </c>
      <c r="E602" s="26" t="s">
        <v>696</v>
      </c>
      <c r="F602" s="26" t="s">
        <v>30</v>
      </c>
      <c r="G602" s="26" t="s">
        <v>30</v>
      </c>
      <c r="J602" s="26" t="s">
        <v>113</v>
      </c>
      <c r="L602" s="26" t="s">
        <v>1142</v>
      </c>
      <c r="N602" s="28" t="s">
        <v>125</v>
      </c>
      <c r="O602" s="28" t="s">
        <v>125</v>
      </c>
      <c r="P602" s="26">
        <v>2</v>
      </c>
      <c r="Q602" s="35" t="s">
        <v>211</v>
      </c>
      <c r="R602" s="29">
        <v>11700000</v>
      </c>
      <c r="S602" s="26"/>
      <c r="T602" s="29">
        <v>30000000</v>
      </c>
      <c r="U602" s="36">
        <v>1</v>
      </c>
      <c r="X602" s="26" t="s">
        <v>698</v>
      </c>
    </row>
    <row r="603" spans="1:24" x14ac:dyDescent="0.35">
      <c r="A603" s="26" t="s">
        <v>1854</v>
      </c>
      <c r="B603" s="32" t="s">
        <v>1855</v>
      </c>
      <c r="C603" s="26" t="s">
        <v>1856</v>
      </c>
      <c r="D603" s="26" t="s">
        <v>28</v>
      </c>
      <c r="E603" s="26" t="s">
        <v>696</v>
      </c>
      <c r="F603" s="26" t="s">
        <v>30</v>
      </c>
      <c r="G603" s="26" t="s">
        <v>30</v>
      </c>
      <c r="J603" s="26" t="s">
        <v>113</v>
      </c>
      <c r="L603" s="26" t="s">
        <v>1142</v>
      </c>
      <c r="N603" s="28">
        <v>44936</v>
      </c>
      <c r="O603" s="28" t="s">
        <v>1857</v>
      </c>
      <c r="P603" s="26">
        <v>2</v>
      </c>
      <c r="Q603" s="35" t="s">
        <v>34</v>
      </c>
      <c r="R603" s="29">
        <v>300000000</v>
      </c>
      <c r="S603" s="26"/>
      <c r="T603" s="29">
        <v>40800000</v>
      </c>
      <c r="U603" s="36">
        <v>0.35</v>
      </c>
      <c r="X603" s="26" t="s">
        <v>698</v>
      </c>
    </row>
    <row r="604" spans="1:24" x14ac:dyDescent="0.35">
      <c r="A604" s="26" t="s">
        <v>2039</v>
      </c>
      <c r="B604" s="32" t="s">
        <v>2040</v>
      </c>
      <c r="C604" s="26" t="s">
        <v>2041</v>
      </c>
      <c r="D604" s="26" t="s">
        <v>117</v>
      </c>
      <c r="E604" s="26" t="s">
        <v>696</v>
      </c>
      <c r="F604" s="26" t="s">
        <v>30</v>
      </c>
      <c r="G604" s="26" t="s">
        <v>30</v>
      </c>
      <c r="J604" s="26" t="s">
        <v>113</v>
      </c>
      <c r="L604" s="26" t="s">
        <v>1142</v>
      </c>
      <c r="N604" s="28">
        <v>44936</v>
      </c>
      <c r="O604" s="28" t="s">
        <v>1857</v>
      </c>
      <c r="P604" s="26">
        <v>2</v>
      </c>
      <c r="Q604" s="35" t="s">
        <v>211</v>
      </c>
      <c r="R604" s="29">
        <v>70000000</v>
      </c>
      <c r="S604" s="33"/>
      <c r="T604" s="29">
        <v>20798500</v>
      </c>
      <c r="U604" s="36">
        <v>1</v>
      </c>
      <c r="X604" s="26" t="s">
        <v>698</v>
      </c>
    </row>
    <row r="605" spans="1:24" x14ac:dyDescent="0.35">
      <c r="A605" s="26" t="s">
        <v>2042</v>
      </c>
      <c r="B605" s="32" t="s">
        <v>2043</v>
      </c>
      <c r="C605" s="26" t="s">
        <v>2044</v>
      </c>
      <c r="D605" s="26" t="s">
        <v>28</v>
      </c>
      <c r="E605" s="26" t="s">
        <v>696</v>
      </c>
      <c r="F605" s="26" t="s">
        <v>30</v>
      </c>
      <c r="G605" s="26" t="s">
        <v>30</v>
      </c>
      <c r="J605" s="26" t="s">
        <v>113</v>
      </c>
      <c r="L605" s="26" t="s">
        <v>1142</v>
      </c>
      <c r="N605" s="28">
        <v>44936</v>
      </c>
      <c r="O605" s="28" t="s">
        <v>1857</v>
      </c>
      <c r="P605" s="26">
        <v>60</v>
      </c>
      <c r="Q605" s="35" t="s">
        <v>211</v>
      </c>
      <c r="R605" s="29">
        <v>60000000</v>
      </c>
      <c r="S605" s="33"/>
      <c r="T605" s="29">
        <v>60000000</v>
      </c>
      <c r="U605" s="36">
        <v>1</v>
      </c>
      <c r="X605" s="26" t="s">
        <v>698</v>
      </c>
    </row>
    <row r="606" spans="1:24" x14ac:dyDescent="0.35">
      <c r="A606" s="26" t="s">
        <v>2573</v>
      </c>
      <c r="B606" s="32" t="s">
        <v>2571</v>
      </c>
      <c r="C606" s="26" t="s">
        <v>2572</v>
      </c>
      <c r="D606" s="26" t="s">
        <v>28</v>
      </c>
      <c r="E606" s="26" t="s">
        <v>696</v>
      </c>
      <c r="F606" s="26" t="s">
        <v>30</v>
      </c>
      <c r="G606" s="26" t="s">
        <v>30</v>
      </c>
      <c r="J606" s="26" t="s">
        <v>113</v>
      </c>
      <c r="L606" s="26" t="s">
        <v>1142</v>
      </c>
      <c r="N606" s="28">
        <v>45299</v>
      </c>
      <c r="O606" s="28" t="s">
        <v>1973</v>
      </c>
      <c r="P606" s="26">
        <v>8</v>
      </c>
      <c r="Q606" s="35" t="s">
        <v>49</v>
      </c>
      <c r="R606" s="29"/>
      <c r="S606" s="33"/>
      <c r="T606" s="29"/>
      <c r="U606" s="36"/>
      <c r="X606" s="26" t="s">
        <v>698</v>
      </c>
    </row>
    <row r="607" spans="1:24" x14ac:dyDescent="0.35">
      <c r="A607" s="26" t="s">
        <v>936</v>
      </c>
      <c r="B607" s="32" t="s">
        <v>937</v>
      </c>
      <c r="C607" s="26" t="s">
        <v>938</v>
      </c>
      <c r="D607" s="26" t="s">
        <v>939</v>
      </c>
      <c r="E607" s="26" t="s">
        <v>940</v>
      </c>
      <c r="F607" s="26" t="s">
        <v>30</v>
      </c>
      <c r="G607" s="26" t="s">
        <v>30</v>
      </c>
      <c r="J607" s="26" t="s">
        <v>31</v>
      </c>
      <c r="L607" s="26" t="s">
        <v>473</v>
      </c>
      <c r="N607" s="28">
        <v>43361</v>
      </c>
      <c r="O607" s="28">
        <v>45644</v>
      </c>
      <c r="P607" s="26">
        <v>211</v>
      </c>
      <c r="Q607" s="35" t="s">
        <v>941</v>
      </c>
      <c r="R607" s="29">
        <v>3500000000</v>
      </c>
      <c r="S607" s="26"/>
      <c r="T607" s="29">
        <v>11558683937.309999</v>
      </c>
      <c r="U607" s="36">
        <v>0.42</v>
      </c>
      <c r="V607" s="26" t="s">
        <v>35</v>
      </c>
      <c r="X607" s="26" t="s">
        <v>942</v>
      </c>
    </row>
    <row r="608" spans="1:24" x14ac:dyDescent="0.35">
      <c r="A608" s="26" t="s">
        <v>943</v>
      </c>
      <c r="B608" s="32" t="s">
        <v>944</v>
      </c>
      <c r="C608" s="26" t="s">
        <v>938</v>
      </c>
      <c r="D608" s="26" t="s">
        <v>847</v>
      </c>
      <c r="E608" s="26" t="s">
        <v>940</v>
      </c>
      <c r="F608" s="26" t="s">
        <v>30</v>
      </c>
      <c r="G608" s="26" t="s">
        <v>30</v>
      </c>
      <c r="J608" s="26" t="s">
        <v>31</v>
      </c>
      <c r="L608" s="26" t="s">
        <v>473</v>
      </c>
      <c r="N608" s="28">
        <v>43818</v>
      </c>
      <c r="O608" s="28">
        <v>45644</v>
      </c>
      <c r="P608" s="26">
        <v>260</v>
      </c>
      <c r="Q608" s="35" t="s">
        <v>34</v>
      </c>
      <c r="R608" s="29">
        <v>5326456183</v>
      </c>
      <c r="S608" s="26"/>
      <c r="T608" s="29">
        <v>35500720625.150002</v>
      </c>
      <c r="U608" s="36">
        <v>0.98</v>
      </c>
      <c r="V608" s="26" t="s">
        <v>35</v>
      </c>
      <c r="X608" s="26" t="s">
        <v>942</v>
      </c>
    </row>
    <row r="609" spans="1:24" x14ac:dyDescent="0.35">
      <c r="A609" s="26" t="s">
        <v>945</v>
      </c>
      <c r="B609" s="32" t="s">
        <v>946</v>
      </c>
      <c r="C609" s="26" t="s">
        <v>938</v>
      </c>
      <c r="D609" s="26" t="s">
        <v>947</v>
      </c>
      <c r="E609" s="26" t="s">
        <v>940</v>
      </c>
      <c r="F609" s="26" t="s">
        <v>30</v>
      </c>
      <c r="G609" s="26" t="s">
        <v>30</v>
      </c>
      <c r="J609" s="26" t="s">
        <v>31</v>
      </c>
      <c r="L609" s="26" t="s">
        <v>473</v>
      </c>
      <c r="N609" s="28">
        <v>44471</v>
      </c>
      <c r="O609" s="28">
        <v>45538</v>
      </c>
      <c r="P609" s="26">
        <v>184</v>
      </c>
      <c r="Q609" s="35" t="s">
        <v>941</v>
      </c>
      <c r="R609" s="29">
        <v>5744356980</v>
      </c>
      <c r="S609" s="26"/>
      <c r="T609" s="29">
        <v>8981414277.2399998</v>
      </c>
      <c r="U609" s="36">
        <v>0.45</v>
      </c>
      <c r="V609" s="26" t="s">
        <v>730</v>
      </c>
      <c r="W609" s="26" t="s">
        <v>948</v>
      </c>
      <c r="X609" s="26" t="s">
        <v>942</v>
      </c>
    </row>
    <row r="610" spans="1:24" x14ac:dyDescent="0.35">
      <c r="A610" s="26" t="s">
        <v>949</v>
      </c>
      <c r="B610" s="32" t="s">
        <v>950</v>
      </c>
      <c r="C610" s="26" t="s">
        <v>938</v>
      </c>
      <c r="D610" s="26" t="s">
        <v>951</v>
      </c>
      <c r="E610" s="26" t="s">
        <v>940</v>
      </c>
      <c r="F610" s="26" t="s">
        <v>30</v>
      </c>
      <c r="G610" s="26" t="s">
        <v>30</v>
      </c>
      <c r="J610" s="26" t="s">
        <v>31</v>
      </c>
      <c r="L610" s="26" t="s">
        <v>473</v>
      </c>
      <c r="N610" s="28">
        <v>44510</v>
      </c>
      <c r="O610" s="28">
        <v>45460</v>
      </c>
      <c r="P610" s="26">
        <v>110</v>
      </c>
      <c r="Q610" s="35" t="s">
        <v>941</v>
      </c>
      <c r="R610" s="29">
        <v>4891281365.75</v>
      </c>
      <c r="S610" s="26"/>
      <c r="T610" s="29">
        <v>3663629277.1300001</v>
      </c>
      <c r="U610" s="36">
        <v>0.44600000000000001</v>
      </c>
      <c r="V610" s="26" t="s">
        <v>730</v>
      </c>
      <c r="W610" s="26" t="s">
        <v>952</v>
      </c>
      <c r="X610" s="26" t="s">
        <v>942</v>
      </c>
    </row>
    <row r="611" spans="1:24" x14ac:dyDescent="0.35">
      <c r="A611" s="26" t="s">
        <v>953</v>
      </c>
      <c r="B611" s="32" t="s">
        <v>954</v>
      </c>
      <c r="C611" s="26" t="s">
        <v>955</v>
      </c>
      <c r="D611" s="26" t="s">
        <v>956</v>
      </c>
      <c r="E611" s="26" t="s">
        <v>940</v>
      </c>
      <c r="F611" s="26" t="s">
        <v>30</v>
      </c>
      <c r="G611" s="26" t="s">
        <v>30</v>
      </c>
      <c r="J611" s="26" t="s">
        <v>31</v>
      </c>
      <c r="L611" s="26" t="s">
        <v>473</v>
      </c>
      <c r="N611" s="28">
        <v>42899</v>
      </c>
      <c r="O611" s="28">
        <v>45263</v>
      </c>
      <c r="P611" s="26">
        <v>319</v>
      </c>
      <c r="Q611" s="35" t="s">
        <v>34</v>
      </c>
      <c r="R611" s="29">
        <v>1650787422</v>
      </c>
      <c r="S611" s="26"/>
      <c r="T611" s="29">
        <v>6039248664.6700001</v>
      </c>
      <c r="U611" s="36">
        <v>0.98699999999999999</v>
      </c>
      <c r="V611" s="26" t="s">
        <v>35</v>
      </c>
      <c r="X611" s="26" t="s">
        <v>942</v>
      </c>
    </row>
    <row r="612" spans="1:24" x14ac:dyDescent="0.35">
      <c r="A612" s="26" t="s">
        <v>957</v>
      </c>
      <c r="B612" s="32" t="s">
        <v>958</v>
      </c>
      <c r="C612" s="26" t="s">
        <v>959</v>
      </c>
      <c r="D612" s="26" t="s">
        <v>847</v>
      </c>
      <c r="E612" s="26" t="s">
        <v>940</v>
      </c>
      <c r="F612" s="26" t="s">
        <v>30</v>
      </c>
      <c r="G612" s="26" t="s">
        <v>30</v>
      </c>
      <c r="J612" s="26" t="s">
        <v>426</v>
      </c>
      <c r="L612" s="26" t="s">
        <v>438</v>
      </c>
      <c r="N612" s="28">
        <v>44938</v>
      </c>
      <c r="O612" s="28">
        <v>45092</v>
      </c>
      <c r="P612" s="26">
        <v>54</v>
      </c>
      <c r="Q612" s="35" t="s">
        <v>941</v>
      </c>
      <c r="R612" s="29">
        <v>1000000000</v>
      </c>
      <c r="S612" s="26"/>
      <c r="T612" s="29">
        <v>1500000000</v>
      </c>
      <c r="U612" s="36">
        <v>0.3</v>
      </c>
      <c r="V612" s="26" t="s">
        <v>35</v>
      </c>
      <c r="X612" s="26" t="s">
        <v>942</v>
      </c>
    </row>
    <row r="613" spans="1:24" x14ac:dyDescent="0.35">
      <c r="A613" s="26" t="s">
        <v>960</v>
      </c>
      <c r="B613" s="32" t="s">
        <v>961</v>
      </c>
      <c r="C613" s="26" t="s">
        <v>955</v>
      </c>
      <c r="D613" s="26" t="s">
        <v>962</v>
      </c>
      <c r="E613" s="26" t="s">
        <v>940</v>
      </c>
      <c r="F613" s="26" t="s">
        <v>30</v>
      </c>
      <c r="G613" s="26" t="s">
        <v>30</v>
      </c>
      <c r="J613" s="26" t="s">
        <v>31</v>
      </c>
      <c r="L613" s="26" t="s">
        <v>473</v>
      </c>
      <c r="N613" s="28">
        <v>42957</v>
      </c>
      <c r="O613" s="28">
        <v>45455</v>
      </c>
      <c r="P613" s="26">
        <v>366</v>
      </c>
      <c r="Q613" s="35" t="s">
        <v>34</v>
      </c>
      <c r="R613" s="29">
        <v>3549191298</v>
      </c>
      <c r="S613" s="26"/>
      <c r="T613" s="29">
        <v>4189644247.4099998</v>
      </c>
      <c r="U613" s="36">
        <v>0.97</v>
      </c>
      <c r="V613" s="26" t="s">
        <v>35</v>
      </c>
      <c r="X613" s="26" t="s">
        <v>942</v>
      </c>
    </row>
    <row r="614" spans="1:24" x14ac:dyDescent="0.35">
      <c r="A614" s="26" t="s">
        <v>1165</v>
      </c>
      <c r="B614" s="32" t="s">
        <v>1166</v>
      </c>
      <c r="C614" s="26" t="s">
        <v>1166</v>
      </c>
      <c r="D614" s="26" t="s">
        <v>1167</v>
      </c>
      <c r="E614" s="26" t="s">
        <v>940</v>
      </c>
      <c r="F614" s="26" t="s">
        <v>30</v>
      </c>
      <c r="G614" s="26" t="s">
        <v>30</v>
      </c>
      <c r="J614" s="26" t="s">
        <v>31</v>
      </c>
      <c r="L614" s="26" t="s">
        <v>473</v>
      </c>
      <c r="N614" s="28">
        <v>45292</v>
      </c>
      <c r="O614" s="28" t="s">
        <v>33</v>
      </c>
      <c r="P614" s="26">
        <v>52</v>
      </c>
      <c r="Q614" s="35" t="s">
        <v>49</v>
      </c>
      <c r="R614" s="29">
        <v>25000000</v>
      </c>
      <c r="S614" s="26"/>
      <c r="T614" s="29">
        <v>0</v>
      </c>
      <c r="U614" s="36">
        <v>0</v>
      </c>
      <c r="X614" s="26" t="s">
        <v>1168</v>
      </c>
    </row>
    <row r="615" spans="1:24" x14ac:dyDescent="0.35">
      <c r="A615" s="26" t="s">
        <v>1169</v>
      </c>
      <c r="B615" s="32" t="s">
        <v>1170</v>
      </c>
      <c r="C615" s="26" t="s">
        <v>1170</v>
      </c>
      <c r="D615" s="26" t="s">
        <v>306</v>
      </c>
      <c r="E615" s="26" t="s">
        <v>940</v>
      </c>
      <c r="F615" s="26" t="s">
        <v>30</v>
      </c>
      <c r="G615" s="26" t="s">
        <v>30</v>
      </c>
      <c r="J615" s="26" t="s">
        <v>31</v>
      </c>
      <c r="L615" s="26" t="s">
        <v>473</v>
      </c>
      <c r="N615" s="28">
        <v>45292</v>
      </c>
      <c r="O615" s="28" t="s">
        <v>33</v>
      </c>
      <c r="P615" s="26">
        <v>52</v>
      </c>
      <c r="Q615" s="35" t="s">
        <v>49</v>
      </c>
      <c r="R615" s="29">
        <v>100000000</v>
      </c>
      <c r="S615" s="26"/>
      <c r="T615" s="29">
        <v>0</v>
      </c>
      <c r="U615" s="36">
        <v>0</v>
      </c>
      <c r="X615" s="26" t="s">
        <v>1168</v>
      </c>
    </row>
    <row r="616" spans="1:24" x14ac:dyDescent="0.35">
      <c r="A616" s="26" t="s">
        <v>1171</v>
      </c>
      <c r="B616" s="32" t="s">
        <v>1172</v>
      </c>
      <c r="C616" s="26" t="s">
        <v>1172</v>
      </c>
      <c r="D616" s="26" t="s">
        <v>77</v>
      </c>
      <c r="E616" s="26" t="s">
        <v>940</v>
      </c>
      <c r="F616" s="26" t="s">
        <v>30</v>
      </c>
      <c r="G616" s="26" t="s">
        <v>30</v>
      </c>
      <c r="J616" s="26" t="s">
        <v>31</v>
      </c>
      <c r="L616" s="26" t="s">
        <v>473</v>
      </c>
      <c r="N616" s="28">
        <v>45292</v>
      </c>
      <c r="O616" s="28" t="s">
        <v>33</v>
      </c>
      <c r="P616" s="26">
        <v>52</v>
      </c>
      <c r="Q616" s="35" t="s">
        <v>49</v>
      </c>
      <c r="R616" s="29">
        <v>200000000</v>
      </c>
      <c r="S616" s="26"/>
      <c r="T616" s="29">
        <v>0</v>
      </c>
      <c r="U616" s="36">
        <v>0</v>
      </c>
      <c r="X616" s="26" t="s">
        <v>1168</v>
      </c>
    </row>
    <row r="617" spans="1:24" x14ac:dyDescent="0.35">
      <c r="A617" s="26" t="s">
        <v>1173</v>
      </c>
      <c r="B617" s="32" t="s">
        <v>1174</v>
      </c>
      <c r="C617" s="26" t="s">
        <v>1174</v>
      </c>
      <c r="D617" s="26" t="s">
        <v>95</v>
      </c>
      <c r="E617" s="26" t="s">
        <v>940</v>
      </c>
      <c r="F617" s="26" t="s">
        <v>30</v>
      </c>
      <c r="G617" s="26" t="s">
        <v>30</v>
      </c>
      <c r="J617" s="26" t="s">
        <v>31</v>
      </c>
      <c r="L617" s="26" t="s">
        <v>473</v>
      </c>
      <c r="N617" s="28">
        <v>45292</v>
      </c>
      <c r="O617" s="28" t="s">
        <v>33</v>
      </c>
      <c r="P617" s="26">
        <v>52</v>
      </c>
      <c r="Q617" s="35" t="s">
        <v>34</v>
      </c>
      <c r="R617" s="29">
        <v>650000000</v>
      </c>
      <c r="S617" s="26"/>
      <c r="T617" s="29">
        <v>534450916.13</v>
      </c>
      <c r="U617" s="36">
        <v>1</v>
      </c>
      <c r="X617" s="26" t="s">
        <v>1168</v>
      </c>
    </row>
    <row r="618" spans="1:24" x14ac:dyDescent="0.35">
      <c r="A618" s="26" t="s">
        <v>1175</v>
      </c>
      <c r="B618" s="32" t="s">
        <v>1176</v>
      </c>
      <c r="C618" s="26" t="s">
        <v>1176</v>
      </c>
      <c r="D618" s="26" t="s">
        <v>28</v>
      </c>
      <c r="E618" s="26" t="s">
        <v>940</v>
      </c>
      <c r="F618" s="26" t="s">
        <v>30</v>
      </c>
      <c r="G618" s="26" t="s">
        <v>30</v>
      </c>
      <c r="J618" s="26" t="s">
        <v>31</v>
      </c>
      <c r="L618" s="26" t="s">
        <v>473</v>
      </c>
      <c r="N618" s="28">
        <v>45292</v>
      </c>
      <c r="O618" s="28" t="s">
        <v>33</v>
      </c>
      <c r="P618" s="26">
        <v>52</v>
      </c>
      <c r="Q618" s="35" t="s">
        <v>34</v>
      </c>
      <c r="R618" s="29" t="s">
        <v>1177</v>
      </c>
      <c r="S618" s="35"/>
      <c r="T618" s="29">
        <v>3780469765.8600001</v>
      </c>
      <c r="U618" s="36">
        <v>0.5</v>
      </c>
      <c r="X618" s="26" t="s">
        <v>1168</v>
      </c>
    </row>
    <row r="619" spans="1:24" x14ac:dyDescent="0.35">
      <c r="A619" s="26" t="s">
        <v>1178</v>
      </c>
      <c r="B619" s="32" t="s">
        <v>1179</v>
      </c>
      <c r="C619" s="26" t="s">
        <v>1179</v>
      </c>
      <c r="D619" s="26" t="s">
        <v>117</v>
      </c>
      <c r="E619" s="26" t="s">
        <v>940</v>
      </c>
      <c r="F619" s="26" t="s">
        <v>30</v>
      </c>
      <c r="G619" s="26" t="s">
        <v>30</v>
      </c>
      <c r="J619" s="26" t="s">
        <v>31</v>
      </c>
      <c r="L619" s="26" t="s">
        <v>473</v>
      </c>
      <c r="N619" s="28">
        <v>45292</v>
      </c>
      <c r="O619" s="28" t="s">
        <v>33</v>
      </c>
      <c r="P619" s="26">
        <v>52</v>
      </c>
      <c r="Q619" s="35" t="s">
        <v>49</v>
      </c>
      <c r="R619" s="29">
        <v>500000000</v>
      </c>
      <c r="S619" s="26"/>
      <c r="T619" s="29">
        <v>0</v>
      </c>
      <c r="U619" s="36">
        <v>0</v>
      </c>
      <c r="X619" s="26" t="s">
        <v>1168</v>
      </c>
    </row>
    <row r="620" spans="1:24" x14ac:dyDescent="0.35">
      <c r="A620" s="26" t="s">
        <v>1180</v>
      </c>
      <c r="B620" s="32" t="s">
        <v>1181</v>
      </c>
      <c r="C620" s="26" t="s">
        <v>1181</v>
      </c>
      <c r="D620" s="26" t="s">
        <v>28</v>
      </c>
      <c r="E620" s="26" t="s">
        <v>940</v>
      </c>
      <c r="F620" s="26" t="s">
        <v>30</v>
      </c>
      <c r="G620" s="26" t="s">
        <v>30</v>
      </c>
      <c r="J620" s="26" t="s">
        <v>31</v>
      </c>
      <c r="L620" s="26" t="s">
        <v>473</v>
      </c>
      <c r="N620" s="28">
        <v>45292</v>
      </c>
      <c r="O620" s="28" t="s">
        <v>33</v>
      </c>
      <c r="P620" s="26">
        <v>52</v>
      </c>
      <c r="Q620" s="35" t="s">
        <v>49</v>
      </c>
      <c r="R620" s="29">
        <v>200000000</v>
      </c>
      <c r="S620" s="26"/>
      <c r="T620" s="29">
        <v>0</v>
      </c>
      <c r="U620" s="36">
        <v>0</v>
      </c>
      <c r="X620" s="26" t="s">
        <v>1168</v>
      </c>
    </row>
    <row r="621" spans="1:24" x14ac:dyDescent="0.35">
      <c r="A621" s="26" t="s">
        <v>1182</v>
      </c>
      <c r="B621" s="32" t="s">
        <v>1183</v>
      </c>
      <c r="C621" s="26" t="s">
        <v>1183</v>
      </c>
      <c r="D621" s="26" t="s">
        <v>229</v>
      </c>
      <c r="E621" s="26" t="s">
        <v>940</v>
      </c>
      <c r="F621" s="26" t="s">
        <v>30</v>
      </c>
      <c r="G621" s="26" t="s">
        <v>30</v>
      </c>
      <c r="J621" s="26" t="s">
        <v>31</v>
      </c>
      <c r="L621" s="26" t="s">
        <v>473</v>
      </c>
      <c r="N621" s="28">
        <v>45292</v>
      </c>
      <c r="O621" s="28" t="s">
        <v>33</v>
      </c>
      <c r="P621" s="26">
        <v>52</v>
      </c>
      <c r="Q621" s="35" t="s">
        <v>49</v>
      </c>
      <c r="R621" s="29">
        <v>200000000</v>
      </c>
      <c r="S621" s="26"/>
      <c r="T621" s="29">
        <v>0</v>
      </c>
      <c r="U621" s="36">
        <v>0</v>
      </c>
      <c r="X621" s="26" t="s">
        <v>1168</v>
      </c>
    </row>
    <row r="622" spans="1:24" x14ac:dyDescent="0.35">
      <c r="A622" s="26" t="s">
        <v>1184</v>
      </c>
      <c r="B622" s="32" t="s">
        <v>1185</v>
      </c>
      <c r="C622" s="26" t="s">
        <v>1185</v>
      </c>
      <c r="D622" s="26" t="s">
        <v>229</v>
      </c>
      <c r="E622" s="26" t="s">
        <v>940</v>
      </c>
      <c r="F622" s="26" t="s">
        <v>30</v>
      </c>
      <c r="G622" s="26" t="s">
        <v>30</v>
      </c>
      <c r="J622" s="26" t="s">
        <v>31</v>
      </c>
      <c r="L622" s="26" t="s">
        <v>473</v>
      </c>
      <c r="N622" s="28">
        <v>45292</v>
      </c>
      <c r="O622" s="28" t="s">
        <v>33</v>
      </c>
      <c r="P622" s="26">
        <v>52</v>
      </c>
      <c r="Q622" s="35" t="s">
        <v>49</v>
      </c>
      <c r="R622" s="29">
        <v>100000000</v>
      </c>
      <c r="S622" s="26"/>
      <c r="T622" s="29">
        <v>0</v>
      </c>
      <c r="U622" s="36">
        <v>0</v>
      </c>
      <c r="X622" s="26" t="s">
        <v>1168</v>
      </c>
    </row>
    <row r="623" spans="1:24" x14ac:dyDescent="0.35">
      <c r="A623" s="26" t="s">
        <v>1186</v>
      </c>
      <c r="B623" s="32" t="s">
        <v>1187</v>
      </c>
      <c r="C623" s="26" t="s">
        <v>1187</v>
      </c>
      <c r="D623" s="26" t="s">
        <v>229</v>
      </c>
      <c r="E623" s="26" t="s">
        <v>940</v>
      </c>
      <c r="F623" s="26" t="s">
        <v>30</v>
      </c>
      <c r="G623" s="26" t="s">
        <v>30</v>
      </c>
      <c r="J623" s="26" t="s">
        <v>31</v>
      </c>
      <c r="L623" s="26" t="s">
        <v>473</v>
      </c>
      <c r="N623" s="28">
        <v>45292</v>
      </c>
      <c r="O623" s="28" t="s">
        <v>33</v>
      </c>
      <c r="P623" s="26">
        <v>52</v>
      </c>
      <c r="Q623" s="35" t="s">
        <v>49</v>
      </c>
      <c r="R623" s="29">
        <v>100000000</v>
      </c>
      <c r="S623" s="26"/>
      <c r="T623" s="29">
        <v>0</v>
      </c>
      <c r="U623" s="36">
        <v>0</v>
      </c>
      <c r="X623" s="26" t="s">
        <v>1168</v>
      </c>
    </row>
    <row r="624" spans="1:24" x14ac:dyDescent="0.35">
      <c r="A624" s="26" t="s">
        <v>1188</v>
      </c>
      <c r="B624" s="32" t="s">
        <v>1189</v>
      </c>
      <c r="C624" s="26" t="s">
        <v>1189</v>
      </c>
      <c r="D624" s="26" t="s">
        <v>28</v>
      </c>
      <c r="E624" s="26" t="s">
        <v>940</v>
      </c>
      <c r="F624" s="26" t="s">
        <v>30</v>
      </c>
      <c r="G624" s="26" t="s">
        <v>30</v>
      </c>
      <c r="J624" s="26" t="s">
        <v>31</v>
      </c>
      <c r="L624" s="26" t="s">
        <v>473</v>
      </c>
      <c r="N624" s="28">
        <v>45292</v>
      </c>
      <c r="O624" s="28" t="s">
        <v>33</v>
      </c>
      <c r="P624" s="26">
        <v>52</v>
      </c>
      <c r="Q624" s="35" t="s">
        <v>49</v>
      </c>
      <c r="R624" s="29">
        <v>1000000000</v>
      </c>
      <c r="S624" s="26"/>
      <c r="T624" s="29">
        <v>0</v>
      </c>
      <c r="U624" s="36">
        <v>0</v>
      </c>
      <c r="X624" s="26" t="s">
        <v>1168</v>
      </c>
    </row>
    <row r="625" spans="1:24" x14ac:dyDescent="0.35">
      <c r="A625" s="26" t="s">
        <v>1190</v>
      </c>
      <c r="B625" s="32" t="s">
        <v>1191</v>
      </c>
      <c r="C625" s="26" t="s">
        <v>1191</v>
      </c>
      <c r="D625" s="26" t="s">
        <v>28</v>
      </c>
      <c r="E625" s="26" t="s">
        <v>940</v>
      </c>
      <c r="F625" s="26" t="s">
        <v>30</v>
      </c>
      <c r="G625" s="26" t="s">
        <v>30</v>
      </c>
      <c r="J625" s="26" t="s">
        <v>31</v>
      </c>
      <c r="L625" s="26" t="s">
        <v>473</v>
      </c>
      <c r="N625" s="28">
        <v>45292</v>
      </c>
      <c r="O625" s="28" t="s">
        <v>33</v>
      </c>
      <c r="P625" s="26">
        <v>52</v>
      </c>
      <c r="Q625" s="35" t="s">
        <v>49</v>
      </c>
      <c r="R625" s="29">
        <v>1000000000</v>
      </c>
      <c r="S625" s="26"/>
      <c r="T625" s="29">
        <v>0</v>
      </c>
      <c r="U625" s="36">
        <v>0</v>
      </c>
      <c r="X625" s="26" t="s">
        <v>1168</v>
      </c>
    </row>
    <row r="626" spans="1:24" x14ac:dyDescent="0.35">
      <c r="A626" s="26" t="s">
        <v>1192</v>
      </c>
      <c r="B626" s="32" t="s">
        <v>1193</v>
      </c>
      <c r="C626" s="26" t="s">
        <v>1193</v>
      </c>
      <c r="D626" s="26" t="s">
        <v>77</v>
      </c>
      <c r="E626" s="26" t="s">
        <v>940</v>
      </c>
      <c r="F626" s="26" t="s">
        <v>30</v>
      </c>
      <c r="G626" s="26" t="s">
        <v>30</v>
      </c>
      <c r="J626" s="26" t="s">
        <v>31</v>
      </c>
      <c r="L626" s="26" t="s">
        <v>473</v>
      </c>
      <c r="N626" s="28">
        <v>45292</v>
      </c>
      <c r="O626" s="28" t="s">
        <v>33</v>
      </c>
      <c r="P626" s="26">
        <v>52</v>
      </c>
      <c r="Q626" s="35" t="s">
        <v>49</v>
      </c>
      <c r="R626" s="29">
        <v>1000000000</v>
      </c>
      <c r="S626" s="26"/>
      <c r="T626" s="29">
        <v>0</v>
      </c>
      <c r="U626" s="36">
        <v>0</v>
      </c>
      <c r="X626" s="26" t="s">
        <v>1168</v>
      </c>
    </row>
    <row r="627" spans="1:24" x14ac:dyDescent="0.35">
      <c r="A627" s="26" t="s">
        <v>1194</v>
      </c>
      <c r="B627" s="32" t="s">
        <v>1195</v>
      </c>
      <c r="C627" s="26" t="s">
        <v>1195</v>
      </c>
      <c r="D627" s="26" t="s">
        <v>28</v>
      </c>
      <c r="E627" s="26" t="s">
        <v>940</v>
      </c>
      <c r="F627" s="26" t="s">
        <v>30</v>
      </c>
      <c r="G627" s="26" t="s">
        <v>30</v>
      </c>
      <c r="J627" s="26" t="s">
        <v>31</v>
      </c>
      <c r="L627" s="26" t="s">
        <v>473</v>
      </c>
      <c r="N627" s="28">
        <v>45292</v>
      </c>
      <c r="O627" s="28" t="s">
        <v>33</v>
      </c>
      <c r="P627" s="26">
        <v>52</v>
      </c>
      <c r="Q627" s="35" t="s">
        <v>49</v>
      </c>
      <c r="R627" s="29">
        <v>100000000</v>
      </c>
      <c r="S627" s="26"/>
      <c r="T627" s="29">
        <v>0</v>
      </c>
      <c r="U627" s="36">
        <v>0</v>
      </c>
      <c r="X627" s="26" t="s">
        <v>1168</v>
      </c>
    </row>
    <row r="628" spans="1:24" x14ac:dyDescent="0.35">
      <c r="A628" s="26" t="s">
        <v>1196</v>
      </c>
      <c r="B628" s="32" t="s">
        <v>1197</v>
      </c>
      <c r="C628" s="26" t="s">
        <v>1197</v>
      </c>
      <c r="D628" s="26" t="s">
        <v>229</v>
      </c>
      <c r="E628" s="26" t="s">
        <v>940</v>
      </c>
      <c r="F628" s="26" t="s">
        <v>30</v>
      </c>
      <c r="G628" s="26" t="s">
        <v>30</v>
      </c>
      <c r="J628" s="26" t="s">
        <v>31</v>
      </c>
      <c r="L628" s="26" t="s">
        <v>473</v>
      </c>
      <c r="N628" s="28">
        <v>45292</v>
      </c>
      <c r="O628" s="28" t="s">
        <v>33</v>
      </c>
      <c r="P628" s="26">
        <v>52</v>
      </c>
      <c r="Q628" s="35" t="s">
        <v>49</v>
      </c>
      <c r="R628" s="29">
        <v>1000000</v>
      </c>
      <c r="S628" s="26"/>
      <c r="T628" s="29">
        <v>0</v>
      </c>
      <c r="U628" s="36">
        <v>0</v>
      </c>
      <c r="X628" s="26" t="s">
        <v>1168</v>
      </c>
    </row>
    <row r="629" spans="1:24" x14ac:dyDescent="0.35">
      <c r="A629" s="26" t="s">
        <v>1198</v>
      </c>
      <c r="B629" s="32" t="s">
        <v>1199</v>
      </c>
      <c r="C629" s="26" t="s">
        <v>1199</v>
      </c>
      <c r="D629" s="26" t="s">
        <v>229</v>
      </c>
      <c r="E629" s="26" t="s">
        <v>940</v>
      </c>
      <c r="F629" s="26" t="s">
        <v>30</v>
      </c>
      <c r="G629" s="26" t="s">
        <v>30</v>
      </c>
      <c r="J629" s="26" t="s">
        <v>31</v>
      </c>
      <c r="L629" s="26" t="s">
        <v>473</v>
      </c>
      <c r="N629" s="28">
        <v>45292</v>
      </c>
      <c r="O629" s="28" t="s">
        <v>33</v>
      </c>
      <c r="P629" s="26">
        <v>52</v>
      </c>
      <c r="Q629" s="35" t="s">
        <v>49</v>
      </c>
      <c r="R629" s="29">
        <v>1000000000</v>
      </c>
      <c r="S629" s="26"/>
      <c r="T629" s="29">
        <v>0</v>
      </c>
      <c r="U629" s="36">
        <v>0</v>
      </c>
      <c r="X629" s="26" t="s">
        <v>1168</v>
      </c>
    </row>
    <row r="630" spans="1:24" x14ac:dyDescent="0.35">
      <c r="A630" s="26" t="s">
        <v>1200</v>
      </c>
      <c r="B630" s="32" t="s">
        <v>1201</v>
      </c>
      <c r="C630" s="26" t="s">
        <v>1201</v>
      </c>
      <c r="D630" s="26" t="s">
        <v>229</v>
      </c>
      <c r="E630" s="26" t="s">
        <v>940</v>
      </c>
      <c r="F630" s="26" t="s">
        <v>30</v>
      </c>
      <c r="G630" s="26" t="s">
        <v>30</v>
      </c>
      <c r="J630" s="26" t="s">
        <v>31</v>
      </c>
      <c r="L630" s="26" t="s">
        <v>473</v>
      </c>
      <c r="N630" s="28">
        <v>45292</v>
      </c>
      <c r="O630" s="28" t="s">
        <v>33</v>
      </c>
      <c r="P630" s="26">
        <v>52</v>
      </c>
      <c r="Q630" s="35" t="s">
        <v>49</v>
      </c>
      <c r="R630" s="29">
        <v>1000000000</v>
      </c>
      <c r="S630" s="26"/>
      <c r="T630" s="29">
        <v>0</v>
      </c>
      <c r="U630" s="36">
        <v>0</v>
      </c>
      <c r="X630" s="26" t="s">
        <v>1168</v>
      </c>
    </row>
    <row r="631" spans="1:24" x14ac:dyDescent="0.35">
      <c r="A631" s="26" t="s">
        <v>1202</v>
      </c>
      <c r="B631" s="32" t="s">
        <v>1203</v>
      </c>
      <c r="C631" s="26" t="s">
        <v>1203</v>
      </c>
      <c r="D631" s="26" t="s">
        <v>28</v>
      </c>
      <c r="E631" s="26" t="s">
        <v>940</v>
      </c>
      <c r="F631" s="26" t="s">
        <v>30</v>
      </c>
      <c r="G631" s="26" t="s">
        <v>30</v>
      </c>
      <c r="J631" s="26" t="s">
        <v>31</v>
      </c>
      <c r="L631" s="26" t="s">
        <v>473</v>
      </c>
      <c r="N631" s="28">
        <v>45292</v>
      </c>
      <c r="O631" s="28" t="s">
        <v>33</v>
      </c>
      <c r="P631" s="26">
        <v>52</v>
      </c>
      <c r="Q631" s="35" t="s">
        <v>49</v>
      </c>
      <c r="R631" s="29">
        <v>50000000</v>
      </c>
      <c r="S631" s="26"/>
      <c r="T631" s="29">
        <v>0</v>
      </c>
      <c r="U631" s="36">
        <v>0</v>
      </c>
      <c r="X631" s="26" t="s">
        <v>1168</v>
      </c>
    </row>
    <row r="632" spans="1:24" x14ac:dyDescent="0.35">
      <c r="A632" s="26" t="s">
        <v>1204</v>
      </c>
      <c r="B632" s="32" t="s">
        <v>1205</v>
      </c>
      <c r="C632" s="26" t="s">
        <v>1206</v>
      </c>
      <c r="D632" s="26" t="s">
        <v>28</v>
      </c>
      <c r="E632" s="26" t="s">
        <v>940</v>
      </c>
      <c r="F632" s="26" t="s">
        <v>30</v>
      </c>
      <c r="G632" s="26" t="s">
        <v>30</v>
      </c>
      <c r="J632" s="26" t="s">
        <v>31</v>
      </c>
      <c r="L632" s="26" t="s">
        <v>473</v>
      </c>
      <c r="N632" s="28">
        <v>45292</v>
      </c>
      <c r="O632" s="28" t="s">
        <v>33</v>
      </c>
      <c r="P632" s="26">
        <v>52</v>
      </c>
      <c r="Q632" s="35" t="s">
        <v>34</v>
      </c>
      <c r="R632" s="29">
        <v>1700000000</v>
      </c>
      <c r="S632" s="26"/>
      <c r="T632" s="29">
        <v>1500000000</v>
      </c>
      <c r="U632" s="36">
        <v>0.53</v>
      </c>
      <c r="X632" s="26" t="s">
        <v>1168</v>
      </c>
    </row>
    <row r="633" spans="1:24" x14ac:dyDescent="0.35">
      <c r="A633" s="26" t="s">
        <v>1207</v>
      </c>
      <c r="B633" s="32" t="s">
        <v>1208</v>
      </c>
      <c r="C633" s="26" t="s">
        <v>1208</v>
      </c>
      <c r="D633" s="26" t="s">
        <v>28</v>
      </c>
      <c r="E633" s="26" t="s">
        <v>940</v>
      </c>
      <c r="F633" s="26" t="s">
        <v>30</v>
      </c>
      <c r="G633" s="26" t="s">
        <v>30</v>
      </c>
      <c r="J633" s="26" t="s">
        <v>31</v>
      </c>
      <c r="L633" s="26" t="s">
        <v>473</v>
      </c>
      <c r="N633" s="28">
        <v>45292</v>
      </c>
      <c r="O633" s="28" t="s">
        <v>33</v>
      </c>
      <c r="P633" s="26">
        <v>52</v>
      </c>
      <c r="Q633" s="35" t="s">
        <v>49</v>
      </c>
      <c r="R633" s="29">
        <v>510000000</v>
      </c>
      <c r="S633" s="26"/>
      <c r="T633" s="29">
        <v>0</v>
      </c>
      <c r="U633" s="36">
        <v>0</v>
      </c>
      <c r="X633" s="26" t="s">
        <v>1168</v>
      </c>
    </row>
    <row r="634" spans="1:24" x14ac:dyDescent="0.35">
      <c r="A634" s="26" t="s">
        <v>1209</v>
      </c>
      <c r="B634" s="32" t="s">
        <v>1210</v>
      </c>
      <c r="C634" s="26" t="s">
        <v>1210</v>
      </c>
      <c r="D634" s="26" t="s">
        <v>28</v>
      </c>
      <c r="E634" s="26" t="s">
        <v>940</v>
      </c>
      <c r="F634" s="26" t="s">
        <v>30</v>
      </c>
      <c r="G634" s="26" t="s">
        <v>30</v>
      </c>
      <c r="J634" s="26" t="s">
        <v>31</v>
      </c>
      <c r="L634" s="26" t="s">
        <v>473</v>
      </c>
      <c r="N634" s="28">
        <v>45292</v>
      </c>
      <c r="O634" s="28" t="s">
        <v>33</v>
      </c>
      <c r="P634" s="26">
        <v>52</v>
      </c>
      <c r="Q634" s="35" t="s">
        <v>49</v>
      </c>
      <c r="R634" s="29">
        <v>50570000</v>
      </c>
      <c r="S634" s="26"/>
      <c r="T634" s="29">
        <v>0</v>
      </c>
      <c r="U634" s="36">
        <v>0</v>
      </c>
      <c r="X634" s="26" t="s">
        <v>1168</v>
      </c>
    </row>
    <row r="635" spans="1:24" x14ac:dyDescent="0.35">
      <c r="A635" s="26" t="s">
        <v>1211</v>
      </c>
      <c r="B635" s="32" t="s">
        <v>1212</v>
      </c>
      <c r="C635" s="26" t="s">
        <v>1212</v>
      </c>
      <c r="D635" s="26" t="s">
        <v>28</v>
      </c>
      <c r="E635" s="26" t="s">
        <v>940</v>
      </c>
      <c r="F635" s="26" t="s">
        <v>30</v>
      </c>
      <c r="G635" s="26" t="s">
        <v>30</v>
      </c>
      <c r="J635" s="26" t="s">
        <v>31</v>
      </c>
      <c r="L635" s="26" t="s">
        <v>473</v>
      </c>
      <c r="N635" s="28">
        <v>45292</v>
      </c>
      <c r="O635" s="28" t="s">
        <v>33</v>
      </c>
      <c r="P635" s="26">
        <v>52</v>
      </c>
      <c r="Q635" s="35" t="s">
        <v>49</v>
      </c>
      <c r="R635" s="29">
        <v>30735000</v>
      </c>
      <c r="S635" s="26"/>
      <c r="T635" s="29">
        <v>0</v>
      </c>
      <c r="U635" s="36">
        <v>0</v>
      </c>
      <c r="X635" s="26" t="s">
        <v>1168</v>
      </c>
    </row>
    <row r="636" spans="1:24" x14ac:dyDescent="0.35">
      <c r="A636" s="26" t="s">
        <v>1213</v>
      </c>
      <c r="B636" s="32" t="s">
        <v>1214</v>
      </c>
      <c r="C636" s="26" t="s">
        <v>1214</v>
      </c>
      <c r="D636" s="26" t="s">
        <v>28</v>
      </c>
      <c r="E636" s="26" t="s">
        <v>940</v>
      </c>
      <c r="F636" s="26" t="s">
        <v>30</v>
      </c>
      <c r="G636" s="26" t="s">
        <v>30</v>
      </c>
      <c r="J636" s="26" t="s">
        <v>31</v>
      </c>
      <c r="L636" s="26" t="s">
        <v>473</v>
      </c>
      <c r="N636" s="28">
        <v>45292</v>
      </c>
      <c r="O636" s="28" t="s">
        <v>33</v>
      </c>
      <c r="P636" s="26">
        <v>52</v>
      </c>
      <c r="Q636" s="35" t="s">
        <v>49</v>
      </c>
      <c r="R636" s="29">
        <v>106500000</v>
      </c>
      <c r="S636" s="26"/>
      <c r="T636" s="29">
        <v>0</v>
      </c>
      <c r="U636" s="36">
        <v>0</v>
      </c>
      <c r="X636" s="26" t="s">
        <v>1168</v>
      </c>
    </row>
    <row r="637" spans="1:24" x14ac:dyDescent="0.35">
      <c r="A637" s="26" t="s">
        <v>1215</v>
      </c>
      <c r="B637" s="32" t="s">
        <v>1216</v>
      </c>
      <c r="C637" s="26" t="s">
        <v>1216</v>
      </c>
      <c r="D637" s="26" t="s">
        <v>28</v>
      </c>
      <c r="E637" s="26" t="s">
        <v>940</v>
      </c>
      <c r="F637" s="26" t="s">
        <v>30</v>
      </c>
      <c r="G637" s="26" t="s">
        <v>30</v>
      </c>
      <c r="J637" s="26" t="s">
        <v>31</v>
      </c>
      <c r="L637" s="26" t="s">
        <v>473</v>
      </c>
      <c r="N637" s="28">
        <v>45292</v>
      </c>
      <c r="O637" s="28" t="s">
        <v>33</v>
      </c>
      <c r="P637" s="26">
        <v>52</v>
      </c>
      <c r="Q637" s="35" t="s">
        <v>49</v>
      </c>
      <c r="R637" s="29">
        <v>224056069</v>
      </c>
      <c r="S637" s="26"/>
      <c r="T637" s="29">
        <v>0</v>
      </c>
      <c r="U637" s="36">
        <v>0</v>
      </c>
      <c r="X637" s="26" t="s">
        <v>1168</v>
      </c>
    </row>
    <row r="638" spans="1:24" x14ac:dyDescent="0.35">
      <c r="A638" s="26" t="s">
        <v>1217</v>
      </c>
      <c r="B638" s="32" t="s">
        <v>1218</v>
      </c>
      <c r="C638" s="26" t="s">
        <v>1218</v>
      </c>
      <c r="D638" s="26" t="s">
        <v>28</v>
      </c>
      <c r="E638" s="26" t="s">
        <v>940</v>
      </c>
      <c r="F638" s="26" t="s">
        <v>30</v>
      </c>
      <c r="G638" s="26" t="s">
        <v>30</v>
      </c>
      <c r="J638" s="26" t="s">
        <v>31</v>
      </c>
      <c r="L638" s="26" t="s">
        <v>473</v>
      </c>
      <c r="N638" s="28">
        <v>45292</v>
      </c>
      <c r="O638" s="28" t="s">
        <v>33</v>
      </c>
      <c r="P638" s="26">
        <v>52</v>
      </c>
      <c r="Q638" s="35" t="s">
        <v>49</v>
      </c>
      <c r="R638" s="29">
        <v>15284447</v>
      </c>
      <c r="S638" s="26"/>
      <c r="T638" s="29">
        <v>0</v>
      </c>
      <c r="U638" s="36">
        <v>0</v>
      </c>
      <c r="X638" s="26" t="s">
        <v>1168</v>
      </c>
    </row>
    <row r="639" spans="1:24" x14ac:dyDescent="0.35">
      <c r="A639" s="26" t="s">
        <v>1219</v>
      </c>
      <c r="B639" s="32" t="s">
        <v>1220</v>
      </c>
      <c r="C639" s="26" t="s">
        <v>1220</v>
      </c>
      <c r="D639" s="26" t="s">
        <v>28</v>
      </c>
      <c r="E639" s="26" t="s">
        <v>940</v>
      </c>
      <c r="F639" s="26" t="s">
        <v>30</v>
      </c>
      <c r="G639" s="26" t="s">
        <v>30</v>
      </c>
      <c r="J639" s="26" t="s">
        <v>31</v>
      </c>
      <c r="L639" s="26" t="s">
        <v>473</v>
      </c>
      <c r="N639" s="28">
        <v>45292</v>
      </c>
      <c r="O639" s="28" t="s">
        <v>33</v>
      </c>
      <c r="P639" s="26">
        <v>52</v>
      </c>
      <c r="Q639" s="35" t="s">
        <v>49</v>
      </c>
      <c r="R639" s="29">
        <v>80000000</v>
      </c>
      <c r="S639" s="26"/>
      <c r="T639" s="29">
        <v>0</v>
      </c>
      <c r="U639" s="36">
        <v>0</v>
      </c>
      <c r="X639" s="26" t="s">
        <v>1168</v>
      </c>
    </row>
    <row r="640" spans="1:24" x14ac:dyDescent="0.35">
      <c r="A640" s="26" t="s">
        <v>1221</v>
      </c>
      <c r="B640" s="32" t="s">
        <v>1222</v>
      </c>
      <c r="C640" s="26" t="s">
        <v>1222</v>
      </c>
      <c r="D640" s="26" t="s">
        <v>28</v>
      </c>
      <c r="E640" s="26" t="s">
        <v>940</v>
      </c>
      <c r="F640" s="26" t="s">
        <v>30</v>
      </c>
      <c r="G640" s="26" t="s">
        <v>30</v>
      </c>
      <c r="J640" s="26" t="s">
        <v>31</v>
      </c>
      <c r="L640" s="26" t="s">
        <v>473</v>
      </c>
      <c r="N640" s="28">
        <v>45292</v>
      </c>
      <c r="O640" s="28" t="s">
        <v>33</v>
      </c>
      <c r="P640" s="26">
        <v>52</v>
      </c>
      <c r="Q640" s="35" t="s">
        <v>49</v>
      </c>
      <c r="R640" s="29">
        <v>50000000</v>
      </c>
      <c r="S640" s="26"/>
      <c r="T640" s="29">
        <v>0</v>
      </c>
      <c r="U640" s="36">
        <v>0</v>
      </c>
      <c r="X640" s="26" t="s">
        <v>1168</v>
      </c>
    </row>
    <row r="641" spans="1:24" x14ac:dyDescent="0.35">
      <c r="A641" s="26" t="s">
        <v>1223</v>
      </c>
      <c r="B641" s="32" t="s">
        <v>1224</v>
      </c>
      <c r="C641" s="26" t="s">
        <v>1224</v>
      </c>
      <c r="D641" s="26" t="s">
        <v>1225</v>
      </c>
      <c r="E641" s="26" t="s">
        <v>940</v>
      </c>
      <c r="F641" s="26" t="s">
        <v>30</v>
      </c>
      <c r="G641" s="26" t="s">
        <v>30</v>
      </c>
      <c r="J641" s="26" t="s">
        <v>31</v>
      </c>
      <c r="L641" s="26" t="s">
        <v>473</v>
      </c>
      <c r="N641" s="28">
        <v>45292</v>
      </c>
      <c r="O641" s="28" t="s">
        <v>33</v>
      </c>
      <c r="P641" s="26">
        <v>52</v>
      </c>
      <c r="Q641" s="35" t="s">
        <v>49</v>
      </c>
      <c r="R641" s="29">
        <v>2500000000</v>
      </c>
      <c r="S641" s="26"/>
      <c r="T641" s="29">
        <v>0</v>
      </c>
      <c r="U641" s="36">
        <v>0</v>
      </c>
      <c r="X641" s="26" t="s">
        <v>1168</v>
      </c>
    </row>
    <row r="642" spans="1:24" x14ac:dyDescent="0.35">
      <c r="A642" s="26" t="s">
        <v>1226</v>
      </c>
      <c r="B642" s="32" t="s">
        <v>1227</v>
      </c>
      <c r="C642" s="26" t="s">
        <v>1227</v>
      </c>
      <c r="D642" s="26" t="s">
        <v>285</v>
      </c>
      <c r="E642" s="26" t="s">
        <v>940</v>
      </c>
      <c r="F642" s="26" t="s">
        <v>30</v>
      </c>
      <c r="G642" s="26" t="s">
        <v>30</v>
      </c>
      <c r="J642" s="26" t="s">
        <v>31</v>
      </c>
      <c r="L642" s="26" t="s">
        <v>473</v>
      </c>
      <c r="N642" s="28">
        <v>45292</v>
      </c>
      <c r="O642" s="28" t="s">
        <v>33</v>
      </c>
      <c r="P642" s="26">
        <v>52</v>
      </c>
      <c r="Q642" s="35" t="s">
        <v>49</v>
      </c>
      <c r="R642" s="29">
        <v>100000000</v>
      </c>
      <c r="S642" s="26"/>
      <c r="T642" s="29">
        <v>0</v>
      </c>
      <c r="U642" s="36">
        <v>0</v>
      </c>
      <c r="X642" s="26" t="s">
        <v>1168</v>
      </c>
    </row>
    <row r="643" spans="1:24" x14ac:dyDescent="0.35">
      <c r="A643" s="26" t="s">
        <v>1879</v>
      </c>
      <c r="B643" s="32" t="s">
        <v>1880</v>
      </c>
      <c r="C643" s="26" t="s">
        <v>1881</v>
      </c>
      <c r="D643" s="26" t="s">
        <v>77</v>
      </c>
      <c r="E643" s="26" t="s">
        <v>940</v>
      </c>
      <c r="F643" s="26" t="s">
        <v>30</v>
      </c>
      <c r="G643" s="26" t="s">
        <v>30</v>
      </c>
      <c r="J643" s="26" t="s">
        <v>31</v>
      </c>
      <c r="L643" s="26" t="s">
        <v>473</v>
      </c>
      <c r="N643" s="28">
        <v>45292</v>
      </c>
      <c r="O643" s="28" t="s">
        <v>1882</v>
      </c>
      <c r="P643" s="26">
        <v>15</v>
      </c>
      <c r="Q643" s="35" t="s">
        <v>211</v>
      </c>
      <c r="R643" s="29">
        <v>45000000</v>
      </c>
      <c r="S643" s="26"/>
      <c r="T643" s="29">
        <v>45000000</v>
      </c>
      <c r="U643" s="36">
        <v>1</v>
      </c>
      <c r="X643" s="26" t="s">
        <v>1168</v>
      </c>
    </row>
    <row r="644" spans="1:24" ht="29" x14ac:dyDescent="0.35">
      <c r="A644" s="26" t="s">
        <v>1883</v>
      </c>
      <c r="B644" s="32" t="s">
        <v>1884</v>
      </c>
      <c r="C644" s="42" t="s">
        <v>2477</v>
      </c>
      <c r="D644" s="26" t="s">
        <v>28</v>
      </c>
      <c r="E644" s="26" t="s">
        <v>940</v>
      </c>
      <c r="F644" s="26" t="s">
        <v>30</v>
      </c>
      <c r="G644" s="26" t="s">
        <v>30</v>
      </c>
      <c r="J644" s="26" t="s">
        <v>31</v>
      </c>
      <c r="L644" s="26" t="s">
        <v>473</v>
      </c>
      <c r="N644" s="28">
        <v>45292</v>
      </c>
      <c r="O644" s="28" t="s">
        <v>1882</v>
      </c>
      <c r="P644" s="26">
        <v>15</v>
      </c>
      <c r="Q644" s="35" t="s">
        <v>211</v>
      </c>
      <c r="R644" s="29">
        <v>1534765553.53</v>
      </c>
      <c r="S644" s="26"/>
      <c r="T644" s="43" t="s">
        <v>1885</v>
      </c>
      <c r="U644" s="36">
        <v>1</v>
      </c>
      <c r="X644" s="26" t="s">
        <v>1168</v>
      </c>
    </row>
    <row r="645" spans="1:24" x14ac:dyDescent="0.35">
      <c r="A645" s="26" t="s">
        <v>1886</v>
      </c>
      <c r="B645" s="32" t="s">
        <v>1887</v>
      </c>
      <c r="C645" s="26" t="s">
        <v>1888</v>
      </c>
      <c r="D645" s="26" t="s">
        <v>229</v>
      </c>
      <c r="E645" s="26" t="s">
        <v>940</v>
      </c>
      <c r="F645" s="26" t="s">
        <v>30</v>
      </c>
      <c r="G645" s="26" t="s">
        <v>30</v>
      </c>
      <c r="J645" s="26" t="s">
        <v>31</v>
      </c>
      <c r="L645" s="26" t="s">
        <v>473</v>
      </c>
      <c r="N645" s="28">
        <v>45292</v>
      </c>
      <c r="O645" s="28" t="s">
        <v>1882</v>
      </c>
      <c r="P645" s="26">
        <v>15</v>
      </c>
      <c r="Q645" s="35" t="s">
        <v>34</v>
      </c>
      <c r="R645" s="29">
        <v>800000000</v>
      </c>
      <c r="S645" s="26"/>
      <c r="T645" s="29">
        <v>350000000</v>
      </c>
      <c r="U645" s="36">
        <v>0.43</v>
      </c>
      <c r="X645" s="26" t="s">
        <v>1168</v>
      </c>
    </row>
    <row r="646" spans="1:24" x14ac:dyDescent="0.35">
      <c r="A646" s="26" t="s">
        <v>1889</v>
      </c>
      <c r="B646" s="32" t="s">
        <v>1890</v>
      </c>
      <c r="C646" s="26" t="s">
        <v>1890</v>
      </c>
      <c r="D646" s="26" t="s">
        <v>229</v>
      </c>
      <c r="E646" s="26" t="s">
        <v>940</v>
      </c>
      <c r="F646" s="26" t="s">
        <v>30</v>
      </c>
      <c r="G646" s="26" t="s">
        <v>30</v>
      </c>
      <c r="J646" s="26" t="s">
        <v>31</v>
      </c>
      <c r="L646" s="26" t="s">
        <v>473</v>
      </c>
      <c r="N646" s="28">
        <v>45292</v>
      </c>
      <c r="O646" s="28" t="s">
        <v>1882</v>
      </c>
      <c r="P646" s="26">
        <v>15</v>
      </c>
      <c r="Q646" s="35" t="s">
        <v>211</v>
      </c>
      <c r="R646" s="29">
        <v>5000000</v>
      </c>
      <c r="S646" s="26"/>
      <c r="T646" s="29">
        <v>5000000</v>
      </c>
      <c r="U646" s="36">
        <v>1</v>
      </c>
      <c r="X646" s="26" t="s">
        <v>1168</v>
      </c>
    </row>
    <row r="647" spans="1:24" x14ac:dyDescent="0.35">
      <c r="A647" s="26" t="s">
        <v>1891</v>
      </c>
      <c r="B647" s="32" t="s">
        <v>1892</v>
      </c>
      <c r="C647" s="26" t="s">
        <v>1893</v>
      </c>
      <c r="D647" s="26" t="s">
        <v>229</v>
      </c>
      <c r="E647" s="26" t="s">
        <v>940</v>
      </c>
      <c r="F647" s="26" t="s">
        <v>30</v>
      </c>
      <c r="G647" s="26" t="s">
        <v>30</v>
      </c>
      <c r="J647" s="26" t="s">
        <v>31</v>
      </c>
      <c r="L647" s="26" t="s">
        <v>473</v>
      </c>
      <c r="N647" s="28">
        <v>45292</v>
      </c>
      <c r="O647" s="28" t="s">
        <v>1882</v>
      </c>
      <c r="P647" s="26">
        <v>15</v>
      </c>
      <c r="Q647" s="35" t="s">
        <v>34</v>
      </c>
      <c r="R647" s="29">
        <v>22618600</v>
      </c>
      <c r="S647" s="26"/>
      <c r="T647" s="29">
        <v>22618600</v>
      </c>
      <c r="U647" s="36">
        <v>1</v>
      </c>
      <c r="X647" s="26" t="s">
        <v>1168</v>
      </c>
    </row>
    <row r="648" spans="1:24" ht="43.5" x14ac:dyDescent="0.35">
      <c r="A648" s="26" t="s">
        <v>1960</v>
      </c>
      <c r="B648" s="32" t="s">
        <v>1961</v>
      </c>
      <c r="C648" s="26" t="s">
        <v>1962</v>
      </c>
      <c r="D648" s="26" t="s">
        <v>28</v>
      </c>
      <c r="E648" s="26" t="s">
        <v>940</v>
      </c>
      <c r="F648" s="26" t="s">
        <v>30</v>
      </c>
      <c r="G648" s="26" t="s">
        <v>30</v>
      </c>
      <c r="J648" s="26" t="s">
        <v>31</v>
      </c>
      <c r="L648" s="26" t="s">
        <v>473</v>
      </c>
      <c r="N648" s="28">
        <v>43831</v>
      </c>
      <c r="O648" s="28" t="s">
        <v>33</v>
      </c>
      <c r="P648" s="26">
        <v>208</v>
      </c>
      <c r="Q648" s="35" t="s">
        <v>34</v>
      </c>
      <c r="R648" s="29" t="s">
        <v>1963</v>
      </c>
      <c r="S648" s="26"/>
      <c r="T648" s="29">
        <v>37646239607.690002</v>
      </c>
      <c r="U648" s="36">
        <v>0.96</v>
      </c>
      <c r="X648" s="26" t="s">
        <v>1168</v>
      </c>
    </row>
    <row r="649" spans="1:24" x14ac:dyDescent="0.35">
      <c r="A649" s="26" t="s">
        <v>1964</v>
      </c>
      <c r="B649" s="32" t="s">
        <v>1965</v>
      </c>
      <c r="C649" s="26" t="s">
        <v>1206</v>
      </c>
      <c r="D649" s="26" t="s">
        <v>28</v>
      </c>
      <c r="E649" s="26" t="s">
        <v>940</v>
      </c>
      <c r="F649" s="26" t="s">
        <v>30</v>
      </c>
      <c r="G649" s="26" t="s">
        <v>30</v>
      </c>
      <c r="J649" s="26" t="s">
        <v>31</v>
      </c>
      <c r="L649" s="26" t="s">
        <v>473</v>
      </c>
      <c r="N649" s="28">
        <v>45295</v>
      </c>
      <c r="O649" s="28" t="s">
        <v>33</v>
      </c>
      <c r="P649" s="26">
        <v>24</v>
      </c>
      <c r="Q649" s="35" t="s">
        <v>34</v>
      </c>
      <c r="R649" s="29">
        <v>1000000000</v>
      </c>
      <c r="S649" s="26"/>
      <c r="T649" s="29"/>
      <c r="U649" s="36">
        <v>0.3</v>
      </c>
      <c r="X649" s="26" t="s">
        <v>1168</v>
      </c>
    </row>
    <row r="650" spans="1:24" ht="29" x14ac:dyDescent="0.35">
      <c r="A650" s="26" t="s">
        <v>2045</v>
      </c>
      <c r="B650" s="32" t="s">
        <v>2046</v>
      </c>
      <c r="C650" s="26" t="s">
        <v>2047</v>
      </c>
      <c r="D650" s="26" t="s">
        <v>28</v>
      </c>
      <c r="E650" s="26" t="s">
        <v>940</v>
      </c>
      <c r="F650" s="26" t="s">
        <v>30</v>
      </c>
      <c r="G650" s="26" t="s">
        <v>30</v>
      </c>
      <c r="J650" s="26" t="s">
        <v>31</v>
      </c>
      <c r="L650" s="26" t="s">
        <v>473</v>
      </c>
      <c r="N650" s="28">
        <v>45295</v>
      </c>
      <c r="O650" s="28" t="s">
        <v>33</v>
      </c>
      <c r="P650" s="26">
        <v>24</v>
      </c>
      <c r="Q650" s="35" t="s">
        <v>34</v>
      </c>
      <c r="R650" s="43" t="s">
        <v>2048</v>
      </c>
      <c r="S650" s="33"/>
      <c r="T650" s="43" t="s">
        <v>2049</v>
      </c>
      <c r="U650" s="36">
        <v>0.71099999999999997</v>
      </c>
      <c r="X650" s="26" t="s">
        <v>2050</v>
      </c>
    </row>
    <row r="651" spans="1:24" ht="29" x14ac:dyDescent="0.35">
      <c r="A651" s="26" t="s">
        <v>2051</v>
      </c>
      <c r="B651" s="32" t="s">
        <v>2052</v>
      </c>
      <c r="C651" s="26" t="s">
        <v>2047</v>
      </c>
      <c r="D651" s="44" t="s">
        <v>28</v>
      </c>
      <c r="E651" s="26" t="s">
        <v>940</v>
      </c>
      <c r="F651" s="26" t="s">
        <v>30</v>
      </c>
      <c r="G651" s="26" t="s">
        <v>30</v>
      </c>
      <c r="J651" s="26" t="s">
        <v>31</v>
      </c>
      <c r="L651" s="26" t="s">
        <v>473</v>
      </c>
      <c r="N651" s="28">
        <v>45376</v>
      </c>
      <c r="O651" s="28" t="s">
        <v>2053</v>
      </c>
      <c r="P651" s="26">
        <v>48</v>
      </c>
      <c r="Q651" s="35" t="s">
        <v>34</v>
      </c>
      <c r="R651" s="43" t="s">
        <v>2054</v>
      </c>
      <c r="S651" s="33"/>
      <c r="T651" s="29">
        <v>1591632882.5999999</v>
      </c>
      <c r="U651" s="36">
        <v>0.4</v>
      </c>
      <c r="X651" s="26" t="s">
        <v>2050</v>
      </c>
    </row>
    <row r="652" spans="1:24" x14ac:dyDescent="0.35">
      <c r="A652" s="26" t="s">
        <v>2055</v>
      </c>
      <c r="B652" s="32" t="s">
        <v>2056</v>
      </c>
      <c r="C652" s="26" t="s">
        <v>2047</v>
      </c>
      <c r="D652" s="30" t="s">
        <v>28</v>
      </c>
      <c r="E652" s="26" t="s">
        <v>940</v>
      </c>
      <c r="F652" s="26" t="s">
        <v>30</v>
      </c>
      <c r="G652" s="26" t="s">
        <v>30</v>
      </c>
      <c r="J652" s="26" t="s">
        <v>31</v>
      </c>
      <c r="L652" s="26" t="s">
        <v>473</v>
      </c>
      <c r="N652" s="28">
        <v>45267</v>
      </c>
      <c r="O652" s="28" t="s">
        <v>2053</v>
      </c>
      <c r="P652" s="26">
        <v>72</v>
      </c>
      <c r="Q652" s="35" t="s">
        <v>34</v>
      </c>
      <c r="R652" s="29">
        <v>8873927392.5</v>
      </c>
      <c r="S652" s="33"/>
      <c r="T652" s="29" t="s">
        <v>125</v>
      </c>
      <c r="U652" s="36"/>
      <c r="X652" s="26" t="s">
        <v>2050</v>
      </c>
    </row>
    <row r="653" spans="1:24" x14ac:dyDescent="0.35">
      <c r="A653" s="26" t="s">
        <v>2057</v>
      </c>
      <c r="B653" s="32" t="s">
        <v>2058</v>
      </c>
      <c r="C653" s="26" t="s">
        <v>2047</v>
      </c>
      <c r="D653" s="26" t="s">
        <v>229</v>
      </c>
      <c r="E653" s="26" t="s">
        <v>940</v>
      </c>
      <c r="F653" s="26" t="s">
        <v>30</v>
      </c>
      <c r="G653" s="26" t="s">
        <v>30</v>
      </c>
      <c r="J653" s="26" t="s">
        <v>31</v>
      </c>
      <c r="L653" s="26" t="s">
        <v>473</v>
      </c>
      <c r="N653" s="28">
        <v>45295</v>
      </c>
      <c r="O653" s="28" t="s">
        <v>33</v>
      </c>
      <c r="P653" s="26">
        <v>24</v>
      </c>
      <c r="Q653" s="35" t="s">
        <v>211</v>
      </c>
      <c r="R653" s="29">
        <v>1481881713.24</v>
      </c>
      <c r="S653" s="33"/>
      <c r="T653" s="29">
        <v>1481881713.24</v>
      </c>
      <c r="U653" s="36">
        <v>1</v>
      </c>
      <c r="X653" s="26" t="s">
        <v>2050</v>
      </c>
    </row>
    <row r="654" spans="1:24" ht="29" x14ac:dyDescent="0.35">
      <c r="A654" s="26" t="s">
        <v>2059</v>
      </c>
      <c r="B654" s="32" t="s">
        <v>2060</v>
      </c>
      <c r="C654" s="26" t="s">
        <v>2047</v>
      </c>
      <c r="D654" s="26" t="s">
        <v>229</v>
      </c>
      <c r="E654" s="26" t="s">
        <v>940</v>
      </c>
      <c r="F654" s="26" t="s">
        <v>30</v>
      </c>
      <c r="G654" s="26" t="s">
        <v>30</v>
      </c>
      <c r="J654" s="26" t="s">
        <v>31</v>
      </c>
      <c r="L654" s="26" t="s">
        <v>473</v>
      </c>
      <c r="N654" s="28">
        <v>45295</v>
      </c>
      <c r="O654" s="28" t="s">
        <v>2053</v>
      </c>
      <c r="P654" s="26">
        <v>48</v>
      </c>
      <c r="Q654" s="35" t="s">
        <v>34</v>
      </c>
      <c r="R654" s="43" t="s">
        <v>2061</v>
      </c>
      <c r="S654" s="33"/>
      <c r="T654" s="43" t="s">
        <v>2062</v>
      </c>
      <c r="U654" s="36">
        <v>0.113</v>
      </c>
      <c r="X654" s="26" t="s">
        <v>2050</v>
      </c>
    </row>
    <row r="655" spans="1:24" x14ac:dyDescent="0.35">
      <c r="A655" s="26" t="s">
        <v>2489</v>
      </c>
      <c r="B655" s="32" t="s">
        <v>2462</v>
      </c>
      <c r="C655" s="26" t="s">
        <v>2463</v>
      </c>
      <c r="D655" s="26" t="s">
        <v>28</v>
      </c>
      <c r="E655" s="26" t="s">
        <v>940</v>
      </c>
      <c r="F655" s="26" t="s">
        <v>30</v>
      </c>
      <c r="G655" s="26" t="s">
        <v>30</v>
      </c>
      <c r="J655" s="26" t="s">
        <v>31</v>
      </c>
      <c r="L655" s="26" t="s">
        <v>473</v>
      </c>
      <c r="N655" s="28">
        <v>46023</v>
      </c>
      <c r="O655" s="28" t="s">
        <v>2433</v>
      </c>
      <c r="P655" s="26">
        <v>52</v>
      </c>
      <c r="Q655" s="35" t="s">
        <v>211</v>
      </c>
      <c r="R655" s="29">
        <v>47387684518.139999</v>
      </c>
      <c r="S655" s="33"/>
      <c r="T655" s="29">
        <v>40146239607.690002</v>
      </c>
      <c r="U655" s="36">
        <v>1</v>
      </c>
      <c r="X655" s="26" t="s">
        <v>2050</v>
      </c>
    </row>
    <row r="656" spans="1:24" x14ac:dyDescent="0.35">
      <c r="A656" s="26" t="s">
        <v>2490</v>
      </c>
      <c r="B656" s="32" t="s">
        <v>2462</v>
      </c>
      <c r="C656" s="26" t="s">
        <v>2464</v>
      </c>
      <c r="D656" s="26" t="s">
        <v>321</v>
      </c>
      <c r="E656" s="26" t="s">
        <v>940</v>
      </c>
      <c r="F656" s="26" t="s">
        <v>30</v>
      </c>
      <c r="G656" s="26" t="s">
        <v>30</v>
      </c>
      <c r="J656" s="26" t="s">
        <v>31</v>
      </c>
      <c r="L656" s="26" t="s">
        <v>473</v>
      </c>
      <c r="N656" s="28">
        <v>46023</v>
      </c>
      <c r="O656" s="28" t="s">
        <v>2433</v>
      </c>
      <c r="P656" s="26">
        <v>52</v>
      </c>
      <c r="Q656" s="35" t="s">
        <v>34</v>
      </c>
      <c r="R656" s="31">
        <v>17206139058.720001</v>
      </c>
      <c r="S656" s="26"/>
      <c r="T656" s="31">
        <v>9689644347.9899998</v>
      </c>
      <c r="U656" s="37">
        <v>0.68</v>
      </c>
      <c r="X656" s="26" t="s">
        <v>2050</v>
      </c>
    </row>
    <row r="657" spans="1:24" x14ac:dyDescent="0.35">
      <c r="A657" s="26" t="s">
        <v>2491</v>
      </c>
      <c r="B657" s="32" t="s">
        <v>2462</v>
      </c>
      <c r="C657" s="26" t="s">
        <v>2465</v>
      </c>
      <c r="D657" s="26" t="s">
        <v>253</v>
      </c>
      <c r="E657" s="26" t="s">
        <v>940</v>
      </c>
      <c r="F657" s="26" t="s">
        <v>30</v>
      </c>
      <c r="G657" s="26" t="s">
        <v>30</v>
      </c>
      <c r="J657" s="26" t="s">
        <v>31</v>
      </c>
      <c r="L657" s="26" t="s">
        <v>473</v>
      </c>
      <c r="N657" s="28">
        <v>46023</v>
      </c>
      <c r="O657" s="28" t="s">
        <v>2433</v>
      </c>
      <c r="P657" s="26">
        <v>52</v>
      </c>
      <c r="Q657" s="35" t="s">
        <v>34</v>
      </c>
      <c r="R657" s="31">
        <v>19141549090.27</v>
      </c>
      <c r="S657" s="26"/>
      <c r="T657" s="31">
        <v>9812830605.7900009</v>
      </c>
      <c r="U657" s="37">
        <v>0.55000000000000004</v>
      </c>
      <c r="X657" s="26" t="s">
        <v>2050</v>
      </c>
    </row>
    <row r="658" spans="1:24" x14ac:dyDescent="0.35">
      <c r="A658" s="26" t="s">
        <v>2492</v>
      </c>
      <c r="B658" s="32" t="s">
        <v>2462</v>
      </c>
      <c r="C658" s="26" t="s">
        <v>2466</v>
      </c>
      <c r="D658" s="26" t="s">
        <v>253</v>
      </c>
      <c r="E658" s="26" t="s">
        <v>940</v>
      </c>
      <c r="F658" s="26" t="s">
        <v>30</v>
      </c>
      <c r="G658" s="26" t="s">
        <v>30</v>
      </c>
      <c r="J658" s="26" t="s">
        <v>31</v>
      </c>
      <c r="L658" s="26" t="s">
        <v>473</v>
      </c>
      <c r="N658" s="28">
        <v>46023</v>
      </c>
      <c r="O658" s="28" t="s">
        <v>2433</v>
      </c>
      <c r="P658" s="26">
        <v>52</v>
      </c>
      <c r="Q658" s="35" t="s">
        <v>34</v>
      </c>
      <c r="R658" s="31">
        <v>18700878834.360001</v>
      </c>
      <c r="S658" s="26"/>
      <c r="T658" s="31">
        <v>10949570916.52</v>
      </c>
      <c r="U658" s="37">
        <v>0.65</v>
      </c>
      <c r="X658" s="26" t="s">
        <v>2050</v>
      </c>
    </row>
    <row r="659" spans="1:24" x14ac:dyDescent="0.35">
      <c r="A659" s="26" t="s">
        <v>2493</v>
      </c>
      <c r="B659" s="32" t="s">
        <v>2462</v>
      </c>
      <c r="C659" s="26" t="s">
        <v>2467</v>
      </c>
      <c r="D659" s="26" t="s">
        <v>253</v>
      </c>
      <c r="E659" s="26" t="s">
        <v>940</v>
      </c>
      <c r="F659" s="26" t="s">
        <v>30</v>
      </c>
      <c r="G659" s="26" t="s">
        <v>30</v>
      </c>
      <c r="J659" s="26" t="s">
        <v>31</v>
      </c>
      <c r="L659" s="26" t="s">
        <v>473</v>
      </c>
      <c r="N659" s="28">
        <v>46023</v>
      </c>
      <c r="O659" s="28" t="s">
        <v>2433</v>
      </c>
      <c r="P659" s="26">
        <v>52</v>
      </c>
      <c r="Q659" s="35" t="s">
        <v>34</v>
      </c>
      <c r="R659" s="31">
        <v>19592814116.639999</v>
      </c>
      <c r="S659" s="26"/>
      <c r="T659" s="31">
        <v>10371768312.74</v>
      </c>
      <c r="U659" s="37">
        <v>0.52</v>
      </c>
      <c r="X659" s="26" t="s">
        <v>2050</v>
      </c>
    </row>
    <row r="660" spans="1:24" x14ac:dyDescent="0.35">
      <c r="A660" s="26" t="s">
        <v>2494</v>
      </c>
      <c r="B660" s="32" t="s">
        <v>2462</v>
      </c>
      <c r="C660" s="26" t="s">
        <v>2468</v>
      </c>
      <c r="D660" s="26" t="s">
        <v>109</v>
      </c>
      <c r="E660" s="26" t="s">
        <v>940</v>
      </c>
      <c r="F660" s="26" t="s">
        <v>30</v>
      </c>
      <c r="G660" s="26" t="s">
        <v>30</v>
      </c>
      <c r="J660" s="26" t="s">
        <v>31</v>
      </c>
      <c r="L660" s="26" t="s">
        <v>473</v>
      </c>
      <c r="N660" s="28">
        <v>46023</v>
      </c>
      <c r="O660" s="28" t="s">
        <v>2433</v>
      </c>
      <c r="P660" s="26">
        <v>52</v>
      </c>
      <c r="Q660" s="35" t="s">
        <v>34</v>
      </c>
      <c r="R660" s="31">
        <v>25483763597.919998</v>
      </c>
      <c r="S660" s="26"/>
      <c r="T660" s="31">
        <v>15981414277.24</v>
      </c>
      <c r="U660" s="37">
        <v>0.65</v>
      </c>
      <c r="X660" s="26" t="s">
        <v>2050</v>
      </c>
    </row>
    <row r="661" spans="1:24" x14ac:dyDescent="0.35">
      <c r="A661" s="26" t="s">
        <v>2495</v>
      </c>
      <c r="B661" s="32" t="s">
        <v>2462</v>
      </c>
      <c r="C661" s="26" t="s">
        <v>2469</v>
      </c>
      <c r="D661" s="26" t="s">
        <v>265</v>
      </c>
      <c r="E661" s="26" t="s">
        <v>940</v>
      </c>
      <c r="F661" s="26" t="s">
        <v>30</v>
      </c>
      <c r="G661" s="26" t="s">
        <v>30</v>
      </c>
      <c r="J661" s="26" t="s">
        <v>31</v>
      </c>
      <c r="L661" s="26" t="s">
        <v>473</v>
      </c>
      <c r="N661" s="28">
        <v>46023</v>
      </c>
      <c r="O661" s="28" t="s">
        <v>2433</v>
      </c>
      <c r="P661" s="26">
        <v>52</v>
      </c>
      <c r="Q661" s="35" t="s">
        <v>34</v>
      </c>
      <c r="R661" s="31">
        <v>16987569432.27</v>
      </c>
      <c r="S661" s="26"/>
      <c r="T661" s="31">
        <v>9163629277.1299992</v>
      </c>
      <c r="U661" s="37">
        <v>0.35</v>
      </c>
      <c r="X661" s="26" t="s">
        <v>2050</v>
      </c>
    </row>
    <row r="662" spans="1:24" x14ac:dyDescent="0.35">
      <c r="A662" s="26" t="s">
        <v>2496</v>
      </c>
      <c r="B662" s="32" t="s">
        <v>2462</v>
      </c>
      <c r="C662" s="26" t="s">
        <v>2470</v>
      </c>
      <c r="D662" s="26" t="s">
        <v>229</v>
      </c>
      <c r="E662" s="26" t="s">
        <v>940</v>
      </c>
      <c r="F662" s="26" t="s">
        <v>30</v>
      </c>
      <c r="G662" s="26" t="s">
        <v>30</v>
      </c>
      <c r="J662" s="26" t="s">
        <v>31</v>
      </c>
      <c r="L662" s="26" t="s">
        <v>473</v>
      </c>
      <c r="N662" s="28">
        <v>46023</v>
      </c>
      <c r="O662" s="28" t="s">
        <v>2433</v>
      </c>
      <c r="P662" s="26">
        <v>52</v>
      </c>
      <c r="Q662" s="35" t="s">
        <v>34</v>
      </c>
      <c r="R662" s="31">
        <v>37428548899.900002</v>
      </c>
      <c r="S662" s="26"/>
      <c r="T662" s="31">
        <v>7000000000</v>
      </c>
      <c r="U662" s="37">
        <v>0.36</v>
      </c>
      <c r="X662" s="26" t="s">
        <v>2050</v>
      </c>
    </row>
    <row r="663" spans="1:24" x14ac:dyDescent="0.35">
      <c r="A663" s="26" t="s">
        <v>2497</v>
      </c>
      <c r="B663" s="32" t="s">
        <v>2462</v>
      </c>
      <c r="C663" s="26" t="s">
        <v>2471</v>
      </c>
      <c r="D663" s="26" t="s">
        <v>800</v>
      </c>
      <c r="E663" s="26" t="s">
        <v>940</v>
      </c>
      <c r="F663" s="26" t="s">
        <v>30</v>
      </c>
      <c r="G663" s="26" t="s">
        <v>30</v>
      </c>
      <c r="J663" s="26" t="s">
        <v>31</v>
      </c>
      <c r="L663" s="26" t="s">
        <v>473</v>
      </c>
      <c r="N663" s="28">
        <v>46023</v>
      </c>
      <c r="O663" s="28" t="s">
        <v>2433</v>
      </c>
      <c r="P663" s="26">
        <v>52</v>
      </c>
      <c r="Q663" s="35" t="s">
        <v>211</v>
      </c>
      <c r="R663" s="31">
        <v>3088400175</v>
      </c>
      <c r="S663" s="26"/>
      <c r="T663" s="29">
        <v>1000000000</v>
      </c>
      <c r="U663" s="36">
        <v>1</v>
      </c>
      <c r="X663" s="26" t="s">
        <v>2050</v>
      </c>
    </row>
    <row r="664" spans="1:24" x14ac:dyDescent="0.35">
      <c r="A664" s="26" t="s">
        <v>2498</v>
      </c>
      <c r="B664" s="32" t="s">
        <v>2462</v>
      </c>
      <c r="C664" s="26" t="s">
        <v>2472</v>
      </c>
      <c r="D664" s="26" t="s">
        <v>95</v>
      </c>
      <c r="E664" s="26" t="s">
        <v>940</v>
      </c>
      <c r="F664" s="26" t="s">
        <v>30</v>
      </c>
      <c r="G664" s="26" t="s">
        <v>30</v>
      </c>
      <c r="J664" s="26" t="s">
        <v>31</v>
      </c>
      <c r="L664" s="26" t="s">
        <v>473</v>
      </c>
      <c r="N664" s="28">
        <v>46023</v>
      </c>
      <c r="O664" s="28" t="s">
        <v>2433</v>
      </c>
      <c r="P664" s="26">
        <v>52</v>
      </c>
      <c r="Q664" s="35" t="s">
        <v>34</v>
      </c>
      <c r="R664" s="31">
        <v>11743514265</v>
      </c>
      <c r="S664" s="26"/>
      <c r="T664" s="31">
        <v>3000000000</v>
      </c>
      <c r="U664" s="37">
        <v>0.15</v>
      </c>
      <c r="X664" s="26" t="s">
        <v>2050</v>
      </c>
    </row>
    <row r="665" spans="1:24" x14ac:dyDescent="0.35">
      <c r="A665" s="26" t="s">
        <v>2499</v>
      </c>
      <c r="B665" s="32" t="s">
        <v>2462</v>
      </c>
      <c r="C665" s="26" t="s">
        <v>1181</v>
      </c>
      <c r="D665" s="26" t="s">
        <v>28</v>
      </c>
      <c r="E665" s="26" t="s">
        <v>940</v>
      </c>
      <c r="F665" s="26" t="s">
        <v>30</v>
      </c>
      <c r="G665" s="26" t="s">
        <v>30</v>
      </c>
      <c r="J665" s="26" t="s">
        <v>31</v>
      </c>
      <c r="L665" s="26" t="s">
        <v>473</v>
      </c>
      <c r="N665" s="28">
        <v>46023</v>
      </c>
      <c r="O665" s="28" t="s">
        <v>2433</v>
      </c>
      <c r="P665" s="26">
        <v>52</v>
      </c>
      <c r="Q665" s="35" t="s">
        <v>34</v>
      </c>
      <c r="R665" s="31">
        <v>21681706403.669998</v>
      </c>
      <c r="S665" s="26"/>
      <c r="T665" s="31">
        <v>5300000000</v>
      </c>
      <c r="U665" s="37">
        <v>0.24</v>
      </c>
      <c r="X665" s="26" t="s">
        <v>2050</v>
      </c>
    </row>
    <row r="666" spans="1:24" x14ac:dyDescent="0.35">
      <c r="A666" s="26" t="s">
        <v>2500</v>
      </c>
      <c r="B666" s="32" t="s">
        <v>2462</v>
      </c>
      <c r="C666" s="26" t="s">
        <v>2473</v>
      </c>
      <c r="D666" s="26" t="s">
        <v>229</v>
      </c>
      <c r="E666" s="26" t="s">
        <v>940</v>
      </c>
      <c r="F666" s="26" t="s">
        <v>30</v>
      </c>
      <c r="G666" s="26" t="s">
        <v>30</v>
      </c>
      <c r="J666" s="26" t="s">
        <v>31</v>
      </c>
      <c r="L666" s="26" t="s">
        <v>473</v>
      </c>
      <c r="N666" s="28">
        <v>46023</v>
      </c>
      <c r="O666" s="28" t="s">
        <v>2433</v>
      </c>
      <c r="P666" s="26">
        <v>52</v>
      </c>
      <c r="Q666" s="35" t="s">
        <v>34</v>
      </c>
      <c r="R666" s="31">
        <v>85904853390.220001</v>
      </c>
      <c r="S666" s="26"/>
      <c r="T666" s="31">
        <v>5000000000</v>
      </c>
      <c r="U666" s="37">
        <v>0.1</v>
      </c>
      <c r="X666" s="26" t="s">
        <v>2050</v>
      </c>
    </row>
    <row r="667" spans="1:24" x14ac:dyDescent="0.35">
      <c r="A667" s="26" t="s">
        <v>2501</v>
      </c>
      <c r="B667" s="32" t="s">
        <v>2462</v>
      </c>
      <c r="C667" s="26" t="s">
        <v>2474</v>
      </c>
      <c r="D667" s="26" t="s">
        <v>303</v>
      </c>
      <c r="E667" s="26" t="s">
        <v>940</v>
      </c>
      <c r="F667" s="26" t="s">
        <v>30</v>
      </c>
      <c r="G667" s="26" t="s">
        <v>30</v>
      </c>
      <c r="J667" s="26" t="s">
        <v>31</v>
      </c>
      <c r="L667" s="26" t="s">
        <v>473</v>
      </c>
      <c r="N667" s="28">
        <v>46023</v>
      </c>
      <c r="O667" s="28" t="s">
        <v>2433</v>
      </c>
      <c r="P667" s="26">
        <v>52</v>
      </c>
      <c r="Q667" s="35" t="s">
        <v>34</v>
      </c>
      <c r="R667" s="31">
        <v>34918166780.959999</v>
      </c>
      <c r="S667" s="26"/>
      <c r="T667" s="31">
        <v>1500000000</v>
      </c>
      <c r="U667" s="37">
        <v>0.05</v>
      </c>
      <c r="X667" s="26" t="s">
        <v>2050</v>
      </c>
    </row>
    <row r="668" spans="1:24" x14ac:dyDescent="0.35">
      <c r="A668" s="26" t="s">
        <v>2502</v>
      </c>
      <c r="B668" s="32" t="s">
        <v>2475</v>
      </c>
      <c r="C668" s="26" t="s">
        <v>2476</v>
      </c>
      <c r="D668" s="26" t="s">
        <v>909</v>
      </c>
      <c r="E668" s="26" t="s">
        <v>940</v>
      </c>
      <c r="F668" s="26" t="s">
        <v>30</v>
      </c>
      <c r="G668" s="26" t="s">
        <v>30</v>
      </c>
      <c r="J668" s="26" t="s">
        <v>31</v>
      </c>
      <c r="L668" s="26" t="s">
        <v>473</v>
      </c>
      <c r="N668" s="28">
        <v>46023</v>
      </c>
      <c r="O668" s="28" t="s">
        <v>2433</v>
      </c>
      <c r="P668" s="26">
        <v>52</v>
      </c>
      <c r="Q668" s="35" t="s">
        <v>34</v>
      </c>
      <c r="R668" s="31">
        <v>4612858075.79</v>
      </c>
      <c r="S668" s="26"/>
      <c r="T668" s="31">
        <v>1000000000</v>
      </c>
      <c r="U668" s="37">
        <v>0.75</v>
      </c>
      <c r="X668" s="26" t="s">
        <v>2050</v>
      </c>
    </row>
    <row r="669" spans="1:24" x14ac:dyDescent="0.35">
      <c r="A669" s="26" t="s">
        <v>2503</v>
      </c>
      <c r="B669" s="32" t="s">
        <v>2475</v>
      </c>
      <c r="C669" s="26" t="s">
        <v>2478</v>
      </c>
      <c r="D669" s="26" t="s">
        <v>909</v>
      </c>
      <c r="E669" s="26" t="s">
        <v>940</v>
      </c>
      <c r="F669" s="26" t="s">
        <v>30</v>
      </c>
      <c r="G669" s="26" t="s">
        <v>30</v>
      </c>
      <c r="J669" s="26" t="s">
        <v>31</v>
      </c>
      <c r="L669" s="26" t="s">
        <v>473</v>
      </c>
      <c r="N669" s="28">
        <v>46023</v>
      </c>
      <c r="O669" s="28" t="s">
        <v>2433</v>
      </c>
      <c r="P669" s="26">
        <v>52</v>
      </c>
      <c r="Q669" s="35" t="s">
        <v>211</v>
      </c>
      <c r="R669" s="31">
        <v>1481050534.4400001</v>
      </c>
      <c r="S669" s="26"/>
      <c r="T669" s="29">
        <v>1481050534.4400001</v>
      </c>
      <c r="U669" s="36">
        <v>1</v>
      </c>
      <c r="X669" s="26" t="s">
        <v>2050</v>
      </c>
    </row>
    <row r="670" spans="1:24" x14ac:dyDescent="0.35">
      <c r="A670" s="26" t="s">
        <v>2504</v>
      </c>
      <c r="B670" s="32" t="s">
        <v>2475</v>
      </c>
      <c r="C670" s="26" t="s">
        <v>2479</v>
      </c>
      <c r="D670" s="26" t="s">
        <v>229</v>
      </c>
      <c r="E670" s="26" t="s">
        <v>940</v>
      </c>
      <c r="F670" s="26" t="s">
        <v>30</v>
      </c>
      <c r="G670" s="26" t="s">
        <v>30</v>
      </c>
      <c r="J670" s="26" t="s">
        <v>31</v>
      </c>
      <c r="L670" s="26" t="s">
        <v>473</v>
      </c>
      <c r="N670" s="28">
        <v>46023</v>
      </c>
      <c r="O670" s="28" t="s">
        <v>2433</v>
      </c>
      <c r="P670" s="26">
        <v>52</v>
      </c>
      <c r="Q670" s="35" t="s">
        <v>211</v>
      </c>
      <c r="R670" s="31">
        <v>1078060110.48</v>
      </c>
      <c r="S670" s="26"/>
      <c r="T670" s="29">
        <v>1078060110.48</v>
      </c>
      <c r="U670" s="36">
        <v>1</v>
      </c>
      <c r="X670" s="26" t="s">
        <v>2050</v>
      </c>
    </row>
    <row r="671" spans="1:24" x14ac:dyDescent="0.35">
      <c r="A671" s="26" t="s">
        <v>2505</v>
      </c>
      <c r="B671" s="32" t="s">
        <v>2475</v>
      </c>
      <c r="C671" s="26" t="s">
        <v>2480</v>
      </c>
      <c r="D671" s="26" t="s">
        <v>28</v>
      </c>
      <c r="E671" s="26" t="s">
        <v>940</v>
      </c>
      <c r="F671" s="26" t="s">
        <v>30</v>
      </c>
      <c r="G671" s="26" t="s">
        <v>30</v>
      </c>
      <c r="J671" s="26" t="s">
        <v>31</v>
      </c>
      <c r="L671" s="26" t="s">
        <v>473</v>
      </c>
      <c r="N671" s="28">
        <v>46023</v>
      </c>
      <c r="O671" s="28" t="s">
        <v>2433</v>
      </c>
      <c r="P671" s="26">
        <v>52</v>
      </c>
      <c r="Q671" s="35" t="s">
        <v>34</v>
      </c>
      <c r="R671" s="31">
        <v>8310360110.4799995</v>
      </c>
      <c r="S671" s="26"/>
      <c r="T671" s="31">
        <v>7519512195.1199999</v>
      </c>
      <c r="U671" s="37">
        <v>0.95</v>
      </c>
      <c r="X671" s="26" t="s">
        <v>2050</v>
      </c>
    </row>
    <row r="672" spans="1:24" x14ac:dyDescent="0.35">
      <c r="A672" s="26" t="s">
        <v>2506</v>
      </c>
      <c r="B672" s="32" t="s">
        <v>2475</v>
      </c>
      <c r="C672" s="26" t="s">
        <v>2481</v>
      </c>
      <c r="D672" s="26" t="s">
        <v>28</v>
      </c>
      <c r="E672" s="26" t="s">
        <v>940</v>
      </c>
      <c r="F672" s="26" t="s">
        <v>30</v>
      </c>
      <c r="G672" s="26" t="s">
        <v>30</v>
      </c>
      <c r="J672" s="26" t="s">
        <v>31</v>
      </c>
      <c r="L672" s="26" t="s">
        <v>473</v>
      </c>
      <c r="N672" s="28">
        <v>46023</v>
      </c>
      <c r="O672" s="28" t="s">
        <v>2433</v>
      </c>
      <c r="P672" s="26">
        <v>52</v>
      </c>
      <c r="Q672" s="35" t="s">
        <v>34</v>
      </c>
      <c r="R672" s="31">
        <v>5037391555.5</v>
      </c>
      <c r="S672" s="26"/>
      <c r="T672" s="31">
        <v>1000000000</v>
      </c>
      <c r="U672" s="37">
        <v>0.7</v>
      </c>
      <c r="X672" s="26" t="s">
        <v>2050</v>
      </c>
    </row>
    <row r="673" spans="1:26" x14ac:dyDescent="0.35">
      <c r="A673" s="26" t="s">
        <v>2507</v>
      </c>
      <c r="B673" s="32" t="s">
        <v>2475</v>
      </c>
      <c r="C673" s="26" t="s">
        <v>2482</v>
      </c>
      <c r="D673" s="26" t="s">
        <v>28</v>
      </c>
      <c r="E673" s="26" t="s">
        <v>940</v>
      </c>
      <c r="F673" s="26" t="s">
        <v>30</v>
      </c>
      <c r="G673" s="26" t="s">
        <v>30</v>
      </c>
      <c r="J673" s="26" t="s">
        <v>31</v>
      </c>
      <c r="L673" s="26" t="s">
        <v>473</v>
      </c>
      <c r="N673" s="28">
        <v>46023</v>
      </c>
      <c r="O673" s="28" t="s">
        <v>2433</v>
      </c>
      <c r="P673" s="26">
        <v>52</v>
      </c>
      <c r="Q673" s="35" t="s">
        <v>34</v>
      </c>
      <c r="R673" s="31">
        <v>5275478817.3900003</v>
      </c>
      <c r="S673" s="26"/>
      <c r="T673" s="31">
        <v>5275478817.3900003</v>
      </c>
      <c r="U673" s="37">
        <v>0.8</v>
      </c>
      <c r="X673" s="26" t="s">
        <v>2050</v>
      </c>
    </row>
    <row r="674" spans="1:26" x14ac:dyDescent="0.35">
      <c r="A674" s="26" t="s">
        <v>2508</v>
      </c>
      <c r="B674" s="32" t="s">
        <v>2475</v>
      </c>
      <c r="C674" s="26" t="s">
        <v>2483</v>
      </c>
      <c r="D674" s="26" t="s">
        <v>28</v>
      </c>
      <c r="E674" s="26" t="s">
        <v>940</v>
      </c>
      <c r="F674" s="26" t="s">
        <v>30</v>
      </c>
      <c r="G674" s="26" t="s">
        <v>30</v>
      </c>
      <c r="J674" s="26" t="s">
        <v>31</v>
      </c>
      <c r="L674" s="26" t="s">
        <v>473</v>
      </c>
      <c r="N674" s="28">
        <v>46023</v>
      </c>
      <c r="O674" s="28" t="s">
        <v>2433</v>
      </c>
      <c r="P674" s="26">
        <v>52</v>
      </c>
      <c r="Q674" s="35" t="s">
        <v>34</v>
      </c>
      <c r="R674" s="31">
        <v>3639349452.3600001</v>
      </c>
      <c r="S674" s="26"/>
      <c r="T674" s="31">
        <v>3500000000</v>
      </c>
      <c r="U674" s="37">
        <v>0.95</v>
      </c>
      <c r="X674" s="26" t="s">
        <v>2050</v>
      </c>
    </row>
    <row r="675" spans="1:26" x14ac:dyDescent="0.35">
      <c r="A675" s="26" t="s">
        <v>2509</v>
      </c>
      <c r="B675" s="32" t="s">
        <v>2475</v>
      </c>
      <c r="C675" s="26" t="s">
        <v>2484</v>
      </c>
      <c r="D675" s="26" t="s">
        <v>28</v>
      </c>
      <c r="E675" s="26" t="s">
        <v>940</v>
      </c>
      <c r="F675" s="26" t="s">
        <v>30</v>
      </c>
      <c r="G675" s="26" t="s">
        <v>30</v>
      </c>
      <c r="J675" s="26" t="s">
        <v>31</v>
      </c>
      <c r="L675" s="26" t="s">
        <v>473</v>
      </c>
      <c r="N675" s="28">
        <v>46023</v>
      </c>
      <c r="O675" s="28" t="s">
        <v>2433</v>
      </c>
      <c r="P675" s="26">
        <v>52</v>
      </c>
      <c r="Q675" s="35" t="s">
        <v>34</v>
      </c>
      <c r="R675" s="31">
        <v>2949687772</v>
      </c>
      <c r="S675" s="26"/>
      <c r="T675" s="31">
        <v>2949687772</v>
      </c>
      <c r="U675" s="37">
        <v>0.6</v>
      </c>
      <c r="X675" s="26" t="s">
        <v>2050</v>
      </c>
    </row>
    <row r="676" spans="1:26" x14ac:dyDescent="0.35">
      <c r="A676" s="26" t="s">
        <v>2510</v>
      </c>
      <c r="B676" s="32" t="s">
        <v>2475</v>
      </c>
      <c r="C676" s="26" t="s">
        <v>2485</v>
      </c>
      <c r="D676" s="26" t="s">
        <v>28</v>
      </c>
      <c r="E676" s="26" t="s">
        <v>940</v>
      </c>
      <c r="F676" s="26" t="s">
        <v>30</v>
      </c>
      <c r="G676" s="26" t="s">
        <v>30</v>
      </c>
      <c r="J676" s="26" t="s">
        <v>31</v>
      </c>
      <c r="L676" s="26" t="s">
        <v>473</v>
      </c>
      <c r="N676" s="28">
        <v>46023</v>
      </c>
      <c r="O676" s="28" t="s">
        <v>2433</v>
      </c>
      <c r="P676" s="26">
        <v>52</v>
      </c>
      <c r="Q676" s="35" t="s">
        <v>34</v>
      </c>
      <c r="R676" s="31">
        <v>1591632882.5999999</v>
      </c>
      <c r="S676" s="26"/>
      <c r="T676" s="31">
        <v>1591632882.5999999</v>
      </c>
      <c r="U676" s="37">
        <v>0.7</v>
      </c>
      <c r="X676" s="26" t="s">
        <v>2050</v>
      </c>
    </row>
    <row r="677" spans="1:26" x14ac:dyDescent="0.35">
      <c r="A677" s="26" t="s">
        <v>2511</v>
      </c>
      <c r="B677" s="32" t="s">
        <v>2486</v>
      </c>
      <c r="C677" s="26" t="s">
        <v>2487</v>
      </c>
      <c r="D677" s="26" t="s">
        <v>28</v>
      </c>
      <c r="E677" s="26" t="s">
        <v>940</v>
      </c>
      <c r="F677" s="26" t="s">
        <v>30</v>
      </c>
      <c r="G677" s="26" t="s">
        <v>30</v>
      </c>
      <c r="J677" s="26" t="s">
        <v>31</v>
      </c>
      <c r="L677" s="26" t="s">
        <v>473</v>
      </c>
      <c r="N677" s="28">
        <v>46023</v>
      </c>
      <c r="O677" s="28" t="s">
        <v>2433</v>
      </c>
      <c r="P677" s="26">
        <v>52</v>
      </c>
      <c r="Q677" s="35" t="s">
        <v>211</v>
      </c>
      <c r="R677" s="31">
        <v>829686948.55999994</v>
      </c>
      <c r="S677" s="26"/>
      <c r="T677" s="29">
        <v>829686948.55999994</v>
      </c>
      <c r="U677" s="36">
        <v>1</v>
      </c>
      <c r="X677" s="26" t="s">
        <v>1457</v>
      </c>
    </row>
    <row r="678" spans="1:26" x14ac:dyDescent="0.35">
      <c r="A678" s="26" t="s">
        <v>2512</v>
      </c>
      <c r="B678" s="32" t="s">
        <v>2486</v>
      </c>
      <c r="C678" s="26" t="s">
        <v>2488</v>
      </c>
      <c r="D678" s="26" t="s">
        <v>28</v>
      </c>
      <c r="E678" s="26" t="s">
        <v>940</v>
      </c>
      <c r="F678" s="26" t="s">
        <v>30</v>
      </c>
      <c r="G678" s="26" t="s">
        <v>30</v>
      </c>
      <c r="J678" s="26" t="s">
        <v>31</v>
      </c>
      <c r="L678" s="26" t="s">
        <v>473</v>
      </c>
      <c r="N678" s="28">
        <v>46023</v>
      </c>
      <c r="O678" s="28" t="s">
        <v>2433</v>
      </c>
      <c r="P678" s="26">
        <v>52</v>
      </c>
      <c r="Q678" s="35" t="s">
        <v>34</v>
      </c>
      <c r="R678" s="31">
        <v>14624446369.799999</v>
      </c>
      <c r="S678" s="26"/>
      <c r="T678" s="31">
        <v>360000000</v>
      </c>
      <c r="U678" s="37">
        <f>T678/R678</f>
        <v>2.4616316467433105E-2</v>
      </c>
      <c r="X678" s="26" t="s">
        <v>2050</v>
      </c>
    </row>
    <row r="679" spans="1:26" x14ac:dyDescent="0.35">
      <c r="A679" s="26" t="s">
        <v>1037</v>
      </c>
      <c r="B679" s="32" t="s">
        <v>1038</v>
      </c>
      <c r="C679" s="26" t="s">
        <v>1039</v>
      </c>
      <c r="D679" s="26" t="s">
        <v>734</v>
      </c>
      <c r="E679" s="26" t="s">
        <v>466</v>
      </c>
      <c r="F679" s="26" t="s">
        <v>30</v>
      </c>
      <c r="G679" s="26" t="s">
        <v>30</v>
      </c>
      <c r="J679" s="26" t="s">
        <v>31</v>
      </c>
      <c r="L679" s="26" t="s">
        <v>467</v>
      </c>
      <c r="N679" s="28">
        <v>45412</v>
      </c>
      <c r="O679" s="28">
        <v>45960</v>
      </c>
      <c r="P679" s="26">
        <v>72</v>
      </c>
      <c r="Q679" s="35" t="s">
        <v>49</v>
      </c>
      <c r="R679" s="29">
        <v>35000000</v>
      </c>
      <c r="S679" s="26"/>
      <c r="T679" s="29">
        <v>0</v>
      </c>
      <c r="U679" s="36">
        <v>0</v>
      </c>
      <c r="V679" s="26" t="s">
        <v>35</v>
      </c>
      <c r="X679" s="26" t="s">
        <v>468</v>
      </c>
    </row>
    <row r="680" spans="1:26" x14ac:dyDescent="0.35">
      <c r="A680" s="26" t="s">
        <v>1040</v>
      </c>
      <c r="B680" s="32" t="s">
        <v>1041</v>
      </c>
      <c r="C680" s="26" t="s">
        <v>1042</v>
      </c>
      <c r="D680" s="26" t="s">
        <v>734</v>
      </c>
      <c r="E680" s="26" t="s">
        <v>466</v>
      </c>
      <c r="F680" s="26" t="s">
        <v>30</v>
      </c>
      <c r="G680" s="26" t="s">
        <v>30</v>
      </c>
      <c r="J680" s="26" t="s">
        <v>90</v>
      </c>
      <c r="L680" s="26" t="s">
        <v>91</v>
      </c>
      <c r="N680" s="28">
        <v>45412</v>
      </c>
      <c r="O680" s="28">
        <v>46295</v>
      </c>
      <c r="P680" s="26">
        <v>116</v>
      </c>
      <c r="Q680" s="35" t="s">
        <v>49</v>
      </c>
      <c r="R680" s="29">
        <v>160000000</v>
      </c>
      <c r="S680" s="26"/>
      <c r="T680" s="29">
        <v>0</v>
      </c>
      <c r="U680" s="36">
        <v>0</v>
      </c>
      <c r="V680" s="26" t="s">
        <v>35</v>
      </c>
      <c r="X680" s="26" t="s">
        <v>468</v>
      </c>
    </row>
    <row r="681" spans="1:26" x14ac:dyDescent="0.35">
      <c r="A681" s="26" t="s">
        <v>1043</v>
      </c>
      <c r="B681" s="32" t="s">
        <v>1044</v>
      </c>
      <c r="C681" s="26" t="s">
        <v>1045</v>
      </c>
      <c r="D681" s="26" t="s">
        <v>734</v>
      </c>
      <c r="E681" s="26" t="s">
        <v>466</v>
      </c>
      <c r="F681" s="26" t="s">
        <v>30</v>
      </c>
      <c r="G681" s="26" t="s">
        <v>30</v>
      </c>
      <c r="J681" s="26" t="s">
        <v>113</v>
      </c>
      <c r="L681" s="26" t="s">
        <v>32</v>
      </c>
      <c r="N681" s="28">
        <v>45412</v>
      </c>
      <c r="O681" s="28">
        <v>46295</v>
      </c>
      <c r="P681" s="26">
        <v>116</v>
      </c>
      <c r="Q681" s="35" t="s">
        <v>49</v>
      </c>
      <c r="R681" s="29">
        <v>400000000</v>
      </c>
      <c r="S681" s="26"/>
      <c r="T681" s="29">
        <v>0</v>
      </c>
      <c r="U681" s="36">
        <v>0</v>
      </c>
      <c r="V681" s="26" t="s">
        <v>35</v>
      </c>
      <c r="X681" s="26" t="s">
        <v>468</v>
      </c>
    </row>
    <row r="682" spans="1:26" x14ac:dyDescent="0.35">
      <c r="A682" s="26" t="s">
        <v>1046</v>
      </c>
      <c r="B682" s="32" t="s">
        <v>1047</v>
      </c>
      <c r="C682" s="26" t="s">
        <v>1048</v>
      </c>
      <c r="D682" s="26" t="s">
        <v>734</v>
      </c>
      <c r="E682" s="26" t="s">
        <v>466</v>
      </c>
      <c r="F682" s="26" t="s">
        <v>30</v>
      </c>
      <c r="G682" s="26" t="s">
        <v>30</v>
      </c>
      <c r="J682" s="26" t="s">
        <v>146</v>
      </c>
      <c r="L682" s="26" t="s">
        <v>164</v>
      </c>
      <c r="N682" s="28">
        <v>45412</v>
      </c>
      <c r="O682" s="28">
        <v>46295</v>
      </c>
      <c r="P682" s="26">
        <v>116</v>
      </c>
      <c r="Q682" s="35" t="s">
        <v>49</v>
      </c>
      <c r="R682" s="29">
        <v>60000000</v>
      </c>
      <c r="S682" s="26"/>
      <c r="T682" s="29">
        <v>0</v>
      </c>
      <c r="U682" s="36">
        <v>0</v>
      </c>
      <c r="V682" s="26" t="s">
        <v>35</v>
      </c>
      <c r="X682" s="26" t="s">
        <v>468</v>
      </c>
    </row>
    <row r="683" spans="1:26" x14ac:dyDescent="0.35">
      <c r="A683" s="26" t="s">
        <v>1049</v>
      </c>
      <c r="B683" s="32" t="s">
        <v>1050</v>
      </c>
      <c r="C683" s="26" t="s">
        <v>1051</v>
      </c>
      <c r="D683" s="26" t="s">
        <v>847</v>
      </c>
      <c r="E683" s="26" t="s">
        <v>466</v>
      </c>
      <c r="F683" s="26" t="s">
        <v>30</v>
      </c>
      <c r="G683" s="26" t="s">
        <v>30</v>
      </c>
      <c r="J683" s="26" t="s">
        <v>31</v>
      </c>
      <c r="L683" s="26" t="s">
        <v>32</v>
      </c>
      <c r="N683" s="28">
        <v>45412</v>
      </c>
      <c r="O683" s="28">
        <v>46295</v>
      </c>
      <c r="P683" s="26">
        <v>116</v>
      </c>
      <c r="Q683" s="35" t="s">
        <v>49</v>
      </c>
      <c r="R683" s="29">
        <v>100000000</v>
      </c>
      <c r="S683" s="26"/>
      <c r="T683" s="29">
        <v>0</v>
      </c>
      <c r="U683" s="36">
        <v>0</v>
      </c>
      <c r="V683" s="26" t="s">
        <v>35</v>
      </c>
      <c r="X683" s="26" t="s">
        <v>468</v>
      </c>
    </row>
    <row r="684" spans="1:26" x14ac:dyDescent="0.35">
      <c r="A684" s="26" t="s">
        <v>1052</v>
      </c>
      <c r="B684" s="32" t="s">
        <v>1053</v>
      </c>
      <c r="C684" s="26" t="s">
        <v>1054</v>
      </c>
      <c r="D684" s="26" t="s">
        <v>847</v>
      </c>
      <c r="E684" s="26" t="s">
        <v>466</v>
      </c>
      <c r="F684" s="26" t="s">
        <v>30</v>
      </c>
      <c r="G684" s="26" t="s">
        <v>30</v>
      </c>
      <c r="J684" s="26" t="s">
        <v>31</v>
      </c>
      <c r="L684" s="26" t="s">
        <v>32</v>
      </c>
      <c r="N684" s="28">
        <v>45412</v>
      </c>
      <c r="O684" s="28">
        <v>46295</v>
      </c>
      <c r="P684" s="26">
        <v>116</v>
      </c>
      <c r="Q684" s="35" t="s">
        <v>49</v>
      </c>
      <c r="R684" s="29">
        <v>200000000</v>
      </c>
      <c r="S684" s="26"/>
      <c r="T684" s="29">
        <v>0</v>
      </c>
      <c r="U684" s="36">
        <v>0</v>
      </c>
      <c r="V684" s="26" t="s">
        <v>35</v>
      </c>
      <c r="X684" s="26" t="s">
        <v>468</v>
      </c>
    </row>
    <row r="685" spans="1:26" x14ac:dyDescent="0.35">
      <c r="A685" s="26" t="s">
        <v>1055</v>
      </c>
      <c r="B685" s="32" t="s">
        <v>1056</v>
      </c>
      <c r="C685" s="26" t="s">
        <v>1057</v>
      </c>
      <c r="D685" s="26" t="s">
        <v>847</v>
      </c>
      <c r="E685" s="26" t="s">
        <v>466</v>
      </c>
      <c r="F685" s="26" t="s">
        <v>30</v>
      </c>
      <c r="G685" s="26" t="s">
        <v>30</v>
      </c>
      <c r="J685" s="26" t="s">
        <v>146</v>
      </c>
      <c r="L685" s="26" t="s">
        <v>32</v>
      </c>
      <c r="N685" s="28">
        <v>45412</v>
      </c>
      <c r="O685" s="28">
        <v>46295</v>
      </c>
      <c r="P685" s="26">
        <v>116</v>
      </c>
      <c r="Q685" s="35" t="s">
        <v>49</v>
      </c>
      <c r="R685" s="29">
        <v>5000000</v>
      </c>
      <c r="S685" s="26"/>
      <c r="T685" s="29">
        <v>0</v>
      </c>
      <c r="U685" s="36">
        <v>0</v>
      </c>
      <c r="V685" s="26" t="s">
        <v>35</v>
      </c>
      <c r="X685" s="26" t="s">
        <v>468</v>
      </c>
    </row>
    <row r="686" spans="1:26" x14ac:dyDescent="0.35">
      <c r="A686" s="26" t="s">
        <v>464</v>
      </c>
      <c r="B686" s="32" t="s">
        <v>465</v>
      </c>
      <c r="C686" s="26" t="s">
        <v>465</v>
      </c>
      <c r="D686" s="26" t="s">
        <v>28</v>
      </c>
      <c r="E686" s="26" t="s">
        <v>466</v>
      </c>
      <c r="F686" s="26" t="s">
        <v>30</v>
      </c>
      <c r="G686" s="26" t="s">
        <v>30</v>
      </c>
      <c r="J686" s="26" t="s">
        <v>31</v>
      </c>
      <c r="L686" s="26" t="s">
        <v>467</v>
      </c>
      <c r="N686" s="28">
        <v>45292</v>
      </c>
      <c r="O686" s="28">
        <v>45657</v>
      </c>
      <c r="P686" s="26">
        <v>52</v>
      </c>
      <c r="Q686" s="35" t="s">
        <v>49</v>
      </c>
      <c r="R686" s="29">
        <v>45000000</v>
      </c>
      <c r="S686" s="26"/>
      <c r="T686" s="29">
        <v>0</v>
      </c>
      <c r="U686" s="36">
        <v>0</v>
      </c>
      <c r="V686" s="26" t="s">
        <v>35</v>
      </c>
      <c r="X686" s="26" t="s">
        <v>468</v>
      </c>
    </row>
    <row r="687" spans="1:26" x14ac:dyDescent="0.35">
      <c r="A687" s="26" t="s">
        <v>1228</v>
      </c>
      <c r="B687" s="32" t="s">
        <v>1229</v>
      </c>
      <c r="C687" s="26" t="s">
        <v>1230</v>
      </c>
      <c r="D687" s="26" t="s">
        <v>28</v>
      </c>
      <c r="E687" s="26" t="s">
        <v>1231</v>
      </c>
      <c r="F687" s="26" t="s">
        <v>30</v>
      </c>
      <c r="G687" s="26" t="s">
        <v>30</v>
      </c>
      <c r="J687" s="26" t="s">
        <v>113</v>
      </c>
      <c r="L687" s="26" t="s">
        <v>53</v>
      </c>
      <c r="N687" s="28">
        <v>45261</v>
      </c>
      <c r="O687" s="28">
        <v>46722</v>
      </c>
      <c r="P687" s="26">
        <v>208</v>
      </c>
      <c r="Q687" s="35" t="s">
        <v>49</v>
      </c>
      <c r="R687" s="29">
        <v>30000000</v>
      </c>
      <c r="S687" s="26"/>
      <c r="T687" s="29">
        <v>0</v>
      </c>
      <c r="U687" s="36">
        <v>0</v>
      </c>
      <c r="V687" s="26" t="s">
        <v>730</v>
      </c>
      <c r="W687" s="26" t="s">
        <v>1232</v>
      </c>
      <c r="X687" s="26" t="s">
        <v>1233</v>
      </c>
      <c r="Y687" s="26" t="s">
        <v>35</v>
      </c>
      <c r="Z687" s="26" t="s">
        <v>1234</v>
      </c>
    </row>
    <row r="688" spans="1:26" x14ac:dyDescent="0.35">
      <c r="A688" s="26" t="s">
        <v>1235</v>
      </c>
      <c r="B688" s="32" t="s">
        <v>1236</v>
      </c>
      <c r="C688" s="26" t="s">
        <v>1237</v>
      </c>
      <c r="D688" s="26" t="s">
        <v>28</v>
      </c>
      <c r="E688" s="26" t="s">
        <v>1231</v>
      </c>
      <c r="F688" s="26" t="s">
        <v>30</v>
      </c>
      <c r="G688" s="26" t="s">
        <v>30</v>
      </c>
      <c r="J688" s="26" t="s">
        <v>113</v>
      </c>
      <c r="L688" s="26" t="s">
        <v>53</v>
      </c>
      <c r="N688" s="28">
        <v>45260</v>
      </c>
      <c r="O688" s="28">
        <v>45626</v>
      </c>
      <c r="P688" s="26">
        <v>52</v>
      </c>
      <c r="Q688" s="35" t="s">
        <v>49</v>
      </c>
      <c r="R688" s="29">
        <v>98600000</v>
      </c>
      <c r="S688" s="26"/>
      <c r="T688" s="29">
        <v>0</v>
      </c>
      <c r="U688" s="36">
        <v>0</v>
      </c>
      <c r="V688" s="26" t="s">
        <v>35</v>
      </c>
      <c r="X688" s="26" t="s">
        <v>140</v>
      </c>
    </row>
    <row r="689" spans="1:24" x14ac:dyDescent="0.35">
      <c r="A689" s="26" t="s">
        <v>1238</v>
      </c>
      <c r="B689" s="32" t="s">
        <v>1239</v>
      </c>
      <c r="C689" s="26" t="s">
        <v>1237</v>
      </c>
      <c r="D689" s="26" t="s">
        <v>117</v>
      </c>
      <c r="E689" s="26" t="s">
        <v>1231</v>
      </c>
      <c r="F689" s="26" t="s">
        <v>30</v>
      </c>
      <c r="G689" s="26" t="s">
        <v>30</v>
      </c>
      <c r="J689" s="26" t="s">
        <v>113</v>
      </c>
      <c r="L689" s="26" t="s">
        <v>91</v>
      </c>
      <c r="N689" s="28">
        <v>45397</v>
      </c>
      <c r="O689" s="28">
        <v>45397</v>
      </c>
      <c r="P689" s="26">
        <v>52</v>
      </c>
      <c r="Q689" s="35" t="s">
        <v>49</v>
      </c>
      <c r="R689" s="29">
        <v>109143410</v>
      </c>
      <c r="S689" s="26"/>
      <c r="T689" s="29">
        <v>0</v>
      </c>
      <c r="U689" s="36">
        <v>0</v>
      </c>
      <c r="V689" s="26" t="s">
        <v>35</v>
      </c>
      <c r="X689" s="26" t="s">
        <v>1233</v>
      </c>
    </row>
    <row r="690" spans="1:24" x14ac:dyDescent="0.35">
      <c r="A690" s="26" t="s">
        <v>1240</v>
      </c>
      <c r="B690" s="32" t="s">
        <v>1241</v>
      </c>
      <c r="C690" s="26" t="s">
        <v>1237</v>
      </c>
      <c r="D690" s="26" t="s">
        <v>28</v>
      </c>
      <c r="E690" s="26" t="s">
        <v>1231</v>
      </c>
      <c r="F690" s="26" t="s">
        <v>30</v>
      </c>
      <c r="G690" s="26" t="s">
        <v>30</v>
      </c>
      <c r="J690" s="26" t="s">
        <v>113</v>
      </c>
      <c r="L690" s="26" t="s">
        <v>53</v>
      </c>
      <c r="N690" s="28">
        <v>45355</v>
      </c>
      <c r="O690" s="28">
        <v>45720</v>
      </c>
      <c r="P690" s="26">
        <v>52</v>
      </c>
      <c r="Q690" s="35" t="s">
        <v>49</v>
      </c>
      <c r="R690" s="29">
        <v>1843914304</v>
      </c>
      <c r="S690" s="26"/>
      <c r="T690" s="29">
        <v>0</v>
      </c>
      <c r="U690" s="36">
        <v>0</v>
      </c>
      <c r="V690" s="26" t="s">
        <v>35</v>
      </c>
      <c r="X690" s="26" t="s">
        <v>1233</v>
      </c>
    </row>
    <row r="691" spans="1:24" x14ac:dyDescent="0.35">
      <c r="A691" s="26" t="s">
        <v>1242</v>
      </c>
      <c r="B691" s="32" t="s">
        <v>1243</v>
      </c>
      <c r="C691" s="26" t="s">
        <v>1237</v>
      </c>
      <c r="D691" s="26" t="s">
        <v>28</v>
      </c>
      <c r="E691" s="26" t="s">
        <v>1231</v>
      </c>
      <c r="F691" s="26" t="s">
        <v>30</v>
      </c>
      <c r="G691" s="26" t="s">
        <v>30</v>
      </c>
      <c r="J691" s="26" t="s">
        <v>113</v>
      </c>
      <c r="L691" s="26" t="s">
        <v>32</v>
      </c>
      <c r="N691" s="28">
        <v>45292</v>
      </c>
      <c r="O691" s="28" t="s">
        <v>33</v>
      </c>
      <c r="P691" s="26">
        <v>52</v>
      </c>
      <c r="Q691" s="35" t="s">
        <v>49</v>
      </c>
      <c r="R691" s="29">
        <v>166223333</v>
      </c>
      <c r="S691" s="26"/>
      <c r="T691" s="29">
        <v>0</v>
      </c>
      <c r="U691" s="36">
        <v>0</v>
      </c>
      <c r="X691" s="26" t="s">
        <v>1233</v>
      </c>
    </row>
    <row r="692" spans="1:24" x14ac:dyDescent="0.35">
      <c r="A692" s="26" t="s">
        <v>1244</v>
      </c>
      <c r="B692" s="32" t="s">
        <v>1245</v>
      </c>
      <c r="C692" t="s">
        <v>1237</v>
      </c>
      <c r="D692" s="26" t="s">
        <v>28</v>
      </c>
      <c r="E692" s="26" t="s">
        <v>1231</v>
      </c>
      <c r="F692" s="26" t="s">
        <v>30</v>
      </c>
      <c r="G692" s="26" t="s">
        <v>30</v>
      </c>
      <c r="J692" s="26" t="s">
        <v>31</v>
      </c>
      <c r="L692" s="26" t="s">
        <v>32</v>
      </c>
      <c r="N692" s="28">
        <v>45292</v>
      </c>
      <c r="O692" s="28" t="s">
        <v>33</v>
      </c>
      <c r="P692" s="26">
        <v>52</v>
      </c>
      <c r="Q692" s="35" t="s">
        <v>49</v>
      </c>
      <c r="R692" s="29">
        <v>10000000</v>
      </c>
      <c r="S692" s="26"/>
      <c r="T692" s="29">
        <v>0</v>
      </c>
      <c r="U692" s="36">
        <v>0</v>
      </c>
      <c r="X692" s="26" t="s">
        <v>1233</v>
      </c>
    </row>
    <row r="693" spans="1:24" x14ac:dyDescent="0.35">
      <c r="A693" s="26" t="s">
        <v>1484</v>
      </c>
      <c r="B693" s="32" t="s">
        <v>1485</v>
      </c>
      <c r="C693" s="26" t="s">
        <v>1485</v>
      </c>
      <c r="D693" s="26" t="s">
        <v>28</v>
      </c>
      <c r="E693" s="26" t="s">
        <v>1486</v>
      </c>
      <c r="F693" s="26" t="s">
        <v>1283</v>
      </c>
      <c r="G693" s="26" t="s">
        <v>1262</v>
      </c>
      <c r="J693" s="26" t="s">
        <v>113</v>
      </c>
      <c r="L693" s="26" t="s">
        <v>349</v>
      </c>
      <c r="N693" s="28">
        <v>45292</v>
      </c>
      <c r="O693" s="45">
        <v>45657</v>
      </c>
      <c r="P693" s="26">
        <v>52</v>
      </c>
      <c r="Q693" s="35" t="s">
        <v>49</v>
      </c>
      <c r="R693" s="29">
        <v>4070773</v>
      </c>
      <c r="S693" s="26"/>
      <c r="T693" s="29">
        <v>0</v>
      </c>
      <c r="U693" s="36">
        <v>0</v>
      </c>
      <c r="X693" s="26" t="s">
        <v>126</v>
      </c>
    </row>
    <row r="694" spans="1:24" x14ac:dyDescent="0.35">
      <c r="A694" s="26" t="s">
        <v>1487</v>
      </c>
      <c r="B694" s="32" t="s">
        <v>1488</v>
      </c>
      <c r="C694" s="26" t="s">
        <v>1488</v>
      </c>
      <c r="D694" s="26" t="s">
        <v>28</v>
      </c>
      <c r="E694" s="26" t="s">
        <v>1486</v>
      </c>
      <c r="F694" s="26" t="s">
        <v>1283</v>
      </c>
      <c r="G694" s="26" t="s">
        <v>1262</v>
      </c>
      <c r="J694" s="26" t="s">
        <v>113</v>
      </c>
      <c r="L694" s="26" t="s">
        <v>429</v>
      </c>
      <c r="N694" s="28">
        <v>45292</v>
      </c>
      <c r="O694" s="45">
        <v>45657</v>
      </c>
      <c r="P694" s="26">
        <v>52</v>
      </c>
      <c r="Q694" s="35" t="s">
        <v>49</v>
      </c>
      <c r="R694" s="29">
        <v>1400000</v>
      </c>
      <c r="S694" s="26"/>
      <c r="T694" s="29">
        <v>0</v>
      </c>
      <c r="U694" s="36">
        <v>0</v>
      </c>
      <c r="X694" s="26" t="s">
        <v>126</v>
      </c>
    </row>
    <row r="695" spans="1:24" x14ac:dyDescent="0.35">
      <c r="A695" s="26" t="s">
        <v>1489</v>
      </c>
      <c r="B695" s="32" t="s">
        <v>1490</v>
      </c>
      <c r="C695" s="26" t="s">
        <v>1490</v>
      </c>
      <c r="D695" s="26" t="s">
        <v>28</v>
      </c>
      <c r="E695" s="26" t="s">
        <v>1486</v>
      </c>
      <c r="F695" s="26" t="s">
        <v>1283</v>
      </c>
      <c r="G695" s="26" t="s">
        <v>1262</v>
      </c>
      <c r="J695" s="26" t="s">
        <v>113</v>
      </c>
      <c r="L695" s="26" t="s">
        <v>40</v>
      </c>
      <c r="N695" s="28">
        <v>45292</v>
      </c>
      <c r="O695" s="45">
        <v>45657</v>
      </c>
      <c r="P695" s="26">
        <v>52</v>
      </c>
      <c r="Q695" s="35" t="s">
        <v>49</v>
      </c>
      <c r="R695" s="29">
        <v>3500000</v>
      </c>
      <c r="S695" s="26"/>
      <c r="T695" s="29">
        <v>0</v>
      </c>
      <c r="U695" s="36">
        <v>0</v>
      </c>
      <c r="X695" s="26" t="s">
        <v>126</v>
      </c>
    </row>
    <row r="696" spans="1:24" x14ac:dyDescent="0.35">
      <c r="A696" s="26" t="s">
        <v>1491</v>
      </c>
      <c r="B696" s="32" t="s">
        <v>1492</v>
      </c>
      <c r="C696" s="26" t="s">
        <v>1492</v>
      </c>
      <c r="D696" s="26" t="s">
        <v>28</v>
      </c>
      <c r="E696" s="26" t="s">
        <v>1486</v>
      </c>
      <c r="F696" s="26" t="s">
        <v>1283</v>
      </c>
      <c r="G696" s="26" t="s">
        <v>1262</v>
      </c>
      <c r="J696" s="26" t="s">
        <v>113</v>
      </c>
      <c r="L696" s="26" t="s">
        <v>1142</v>
      </c>
      <c r="N696" s="28">
        <v>45292</v>
      </c>
      <c r="O696" s="45">
        <v>45657</v>
      </c>
      <c r="P696" s="26">
        <v>52</v>
      </c>
      <c r="Q696" s="35" t="s">
        <v>49</v>
      </c>
      <c r="R696" s="29">
        <v>4900000</v>
      </c>
      <c r="S696" s="26"/>
      <c r="T696" s="29">
        <v>0</v>
      </c>
      <c r="U696" s="36">
        <v>0</v>
      </c>
      <c r="X696" s="26" t="s">
        <v>126</v>
      </c>
    </row>
    <row r="697" spans="1:24" x14ac:dyDescent="0.35">
      <c r="A697" s="26" t="s">
        <v>1493</v>
      </c>
      <c r="B697" s="32" t="s">
        <v>1494</v>
      </c>
      <c r="C697" s="26" t="s">
        <v>1494</v>
      </c>
      <c r="D697" s="26" t="s">
        <v>28</v>
      </c>
      <c r="E697" s="26" t="s">
        <v>1486</v>
      </c>
      <c r="F697" s="26" t="s">
        <v>1283</v>
      </c>
      <c r="G697" s="26" t="s">
        <v>1262</v>
      </c>
      <c r="J697" s="26" t="s">
        <v>113</v>
      </c>
      <c r="L697" s="26" t="s">
        <v>31</v>
      </c>
      <c r="N697" s="28">
        <v>45292</v>
      </c>
      <c r="O697" s="45">
        <v>45657</v>
      </c>
      <c r="P697" s="26">
        <v>52</v>
      </c>
      <c r="Q697" s="35" t="s">
        <v>49</v>
      </c>
      <c r="R697" s="29">
        <v>4340000</v>
      </c>
      <c r="S697" s="26"/>
      <c r="T697" s="29">
        <v>0</v>
      </c>
      <c r="U697" s="36">
        <v>0</v>
      </c>
      <c r="X697" s="26" t="s">
        <v>126</v>
      </c>
    </row>
    <row r="698" spans="1:24" x14ac:dyDescent="0.35">
      <c r="A698" s="26" t="s">
        <v>1495</v>
      </c>
      <c r="B698" s="32" t="s">
        <v>1496</v>
      </c>
      <c r="C698" s="26" t="s">
        <v>1496</v>
      </c>
      <c r="D698" s="26" t="s">
        <v>28</v>
      </c>
      <c r="E698" s="26" t="s">
        <v>1486</v>
      </c>
      <c r="F698" s="26" t="s">
        <v>1283</v>
      </c>
      <c r="G698" s="26" t="s">
        <v>1262</v>
      </c>
      <c r="J698" s="26" t="s">
        <v>113</v>
      </c>
      <c r="L698" s="26" t="s">
        <v>31</v>
      </c>
      <c r="N698" s="28">
        <v>45292</v>
      </c>
      <c r="O698" s="45">
        <v>45657</v>
      </c>
      <c r="P698" s="26">
        <v>52</v>
      </c>
      <c r="Q698" s="35" t="s">
        <v>49</v>
      </c>
      <c r="R698" s="29">
        <v>4200000</v>
      </c>
      <c r="S698" s="26"/>
      <c r="T698" s="29">
        <v>0</v>
      </c>
      <c r="U698" s="36">
        <v>0</v>
      </c>
      <c r="X698" s="26" t="s">
        <v>126</v>
      </c>
    </row>
    <row r="699" spans="1:24" x14ac:dyDescent="0.35">
      <c r="A699" s="26" t="s">
        <v>1497</v>
      </c>
      <c r="B699" s="32" t="s">
        <v>1498</v>
      </c>
      <c r="C699" s="26" t="s">
        <v>1498</v>
      </c>
      <c r="D699" s="26" t="s">
        <v>28</v>
      </c>
      <c r="E699" s="26" t="s">
        <v>1486</v>
      </c>
      <c r="F699" s="26" t="s">
        <v>1283</v>
      </c>
      <c r="G699" s="26" t="s">
        <v>1262</v>
      </c>
      <c r="J699" s="26" t="s">
        <v>113</v>
      </c>
      <c r="L699" s="26" t="s">
        <v>31</v>
      </c>
      <c r="N699" s="28">
        <v>45292</v>
      </c>
      <c r="O699" s="45">
        <v>45657</v>
      </c>
      <c r="P699" s="26">
        <v>52</v>
      </c>
      <c r="Q699" s="35" t="s">
        <v>49</v>
      </c>
      <c r="R699" s="29">
        <v>1400000</v>
      </c>
      <c r="S699" s="26"/>
      <c r="T699" s="29">
        <v>0</v>
      </c>
      <c r="U699" s="36">
        <v>0</v>
      </c>
      <c r="X699" s="26" t="s">
        <v>126</v>
      </c>
    </row>
    <row r="700" spans="1:24" x14ac:dyDescent="0.35">
      <c r="A700" s="26" t="s">
        <v>1759</v>
      </c>
      <c r="B700" s="32" t="s">
        <v>1760</v>
      </c>
      <c r="C700" s="26" t="s">
        <v>1760</v>
      </c>
      <c r="D700" s="26" t="s">
        <v>117</v>
      </c>
      <c r="E700" s="26" t="s">
        <v>1761</v>
      </c>
      <c r="F700" s="26" t="s">
        <v>1502</v>
      </c>
      <c r="G700" s="26" t="s">
        <v>1762</v>
      </c>
      <c r="J700" s="26" t="s">
        <v>113</v>
      </c>
      <c r="L700" s="26" t="s">
        <v>31</v>
      </c>
      <c r="N700" s="45" t="s">
        <v>2612</v>
      </c>
      <c r="O700" s="35" t="s">
        <v>33</v>
      </c>
      <c r="P700" s="26">
        <v>104</v>
      </c>
      <c r="Q700" s="35" t="s">
        <v>49</v>
      </c>
      <c r="R700" s="29">
        <v>10000000</v>
      </c>
      <c r="S700" s="26"/>
      <c r="T700" s="29">
        <v>0</v>
      </c>
      <c r="U700" s="36">
        <v>0</v>
      </c>
      <c r="X700" s="26" t="s">
        <v>126</v>
      </c>
    </row>
    <row r="701" spans="1:24" x14ac:dyDescent="0.35">
      <c r="A701" s="26" t="s">
        <v>1499</v>
      </c>
      <c r="B701" s="32" t="s">
        <v>1500</v>
      </c>
      <c r="C701" s="26" t="s">
        <v>1500</v>
      </c>
      <c r="D701" s="26" t="s">
        <v>28</v>
      </c>
      <c r="E701" s="26" t="s">
        <v>1501</v>
      </c>
      <c r="F701" s="26" t="s">
        <v>1502</v>
      </c>
      <c r="G701" s="26" t="s">
        <v>1262</v>
      </c>
      <c r="J701" s="26" t="s">
        <v>574</v>
      </c>
      <c r="L701" s="26" t="s">
        <v>32</v>
      </c>
      <c r="N701" s="28">
        <v>45292</v>
      </c>
      <c r="O701" s="45">
        <v>45657</v>
      </c>
      <c r="P701" s="26">
        <v>52</v>
      </c>
      <c r="Q701" s="35" t="s">
        <v>49</v>
      </c>
      <c r="R701" s="29">
        <v>885000000</v>
      </c>
      <c r="S701" s="26"/>
      <c r="T701" s="29">
        <v>0</v>
      </c>
      <c r="U701" s="36">
        <v>0</v>
      </c>
      <c r="X701" s="26" t="s">
        <v>126</v>
      </c>
    </row>
    <row r="702" spans="1:24" x14ac:dyDescent="0.35">
      <c r="A702" s="26" t="s">
        <v>1503</v>
      </c>
      <c r="B702" s="32" t="s">
        <v>1504</v>
      </c>
      <c r="C702" s="26" t="s">
        <v>1504</v>
      </c>
      <c r="D702" s="26" t="s">
        <v>28</v>
      </c>
      <c r="E702" s="26" t="s">
        <v>1505</v>
      </c>
      <c r="F702" s="26" t="s">
        <v>1502</v>
      </c>
      <c r="G702" s="26" t="s">
        <v>1262</v>
      </c>
      <c r="J702" s="26" t="s">
        <v>574</v>
      </c>
      <c r="L702" s="26" t="s">
        <v>32</v>
      </c>
      <c r="N702" s="28">
        <v>45292</v>
      </c>
      <c r="O702" s="45">
        <v>45657</v>
      </c>
      <c r="P702" s="26">
        <v>52</v>
      </c>
      <c r="Q702" s="35" t="s">
        <v>49</v>
      </c>
      <c r="R702" s="29">
        <v>4000000000</v>
      </c>
      <c r="S702" s="26"/>
      <c r="T702" s="29">
        <v>0</v>
      </c>
      <c r="U702" s="36">
        <v>0</v>
      </c>
      <c r="X702" s="26" t="s">
        <v>126</v>
      </c>
    </row>
    <row r="703" spans="1:24" ht="15.5" x14ac:dyDescent="0.35">
      <c r="A703" s="26" t="s">
        <v>2080</v>
      </c>
      <c r="B703" s="32" t="s">
        <v>2081</v>
      </c>
      <c r="C703" s="26" t="s">
        <v>2082</v>
      </c>
      <c r="D703" s="26" t="s">
        <v>28</v>
      </c>
      <c r="E703" s="26" t="s">
        <v>1505</v>
      </c>
      <c r="F703" s="26" t="s">
        <v>1502</v>
      </c>
      <c r="G703" s="26" t="s">
        <v>1262</v>
      </c>
      <c r="J703" s="26" t="s">
        <v>31</v>
      </c>
      <c r="L703" s="26" t="s">
        <v>32</v>
      </c>
      <c r="N703" s="57">
        <v>45147</v>
      </c>
      <c r="O703" s="45" t="s">
        <v>33</v>
      </c>
      <c r="P703" s="26">
        <v>104</v>
      </c>
      <c r="Q703" s="35" t="s">
        <v>34</v>
      </c>
      <c r="R703" s="29">
        <v>2897811945.5</v>
      </c>
      <c r="S703" s="33"/>
      <c r="T703" s="29">
        <v>2897811945.5</v>
      </c>
      <c r="U703" s="36">
        <v>0.85</v>
      </c>
      <c r="X703" s="26" t="s">
        <v>126</v>
      </c>
    </row>
    <row r="704" spans="1:24" ht="15.5" x14ac:dyDescent="0.35">
      <c r="A704" s="26" t="s">
        <v>2083</v>
      </c>
      <c r="B704" s="32" t="s">
        <v>2084</v>
      </c>
      <c r="C704" s="26" t="s">
        <v>2085</v>
      </c>
      <c r="D704" s="26" t="s">
        <v>28</v>
      </c>
      <c r="E704" s="26" t="s">
        <v>1505</v>
      </c>
      <c r="F704" s="26" t="s">
        <v>1502</v>
      </c>
      <c r="G704" s="26" t="s">
        <v>1262</v>
      </c>
      <c r="J704" s="26" t="s">
        <v>31</v>
      </c>
      <c r="L704" s="26" t="s">
        <v>32</v>
      </c>
      <c r="N704" s="57">
        <v>45147</v>
      </c>
      <c r="O704" s="45" t="s">
        <v>33</v>
      </c>
      <c r="P704" s="26">
        <v>104</v>
      </c>
      <c r="Q704" s="35" t="s">
        <v>34</v>
      </c>
      <c r="R704" s="29">
        <v>5100545991.9499998</v>
      </c>
      <c r="S704" s="33"/>
      <c r="T704" s="29">
        <v>3000000000</v>
      </c>
      <c r="U704" s="36">
        <v>0.75</v>
      </c>
      <c r="X704" s="26" t="s">
        <v>126</v>
      </c>
    </row>
    <row r="705" spans="1:24" ht="15.5" x14ac:dyDescent="0.35">
      <c r="A705" s="26" t="s">
        <v>2086</v>
      </c>
      <c r="B705" s="32" t="s">
        <v>2087</v>
      </c>
      <c r="C705" s="26" t="s">
        <v>2088</v>
      </c>
      <c r="D705" s="26" t="s">
        <v>28</v>
      </c>
      <c r="E705" s="26" t="s">
        <v>1505</v>
      </c>
      <c r="F705" s="26" t="s">
        <v>1502</v>
      </c>
      <c r="G705" s="26" t="s">
        <v>1262</v>
      </c>
      <c r="J705" s="26" t="s">
        <v>31</v>
      </c>
      <c r="L705" s="26" t="s">
        <v>32</v>
      </c>
      <c r="N705" s="57">
        <v>45474</v>
      </c>
      <c r="O705" s="45" t="s">
        <v>2089</v>
      </c>
      <c r="P705" s="26">
        <v>52</v>
      </c>
      <c r="Q705" s="35" t="s">
        <v>34</v>
      </c>
      <c r="R705" s="29">
        <v>10450349656.66</v>
      </c>
      <c r="S705" s="33"/>
      <c r="T705" s="29">
        <v>10450349656.66</v>
      </c>
      <c r="U705" s="36">
        <v>0.8</v>
      </c>
      <c r="X705" s="26" t="s">
        <v>126</v>
      </c>
    </row>
    <row r="706" spans="1:24" x14ac:dyDescent="0.35">
      <c r="A706" s="26" t="s">
        <v>1525</v>
      </c>
      <c r="B706" s="32" t="s">
        <v>1526</v>
      </c>
      <c r="C706" s="26" t="s">
        <v>1527</v>
      </c>
      <c r="D706" s="26" t="s">
        <v>303</v>
      </c>
      <c r="E706" s="26" t="s">
        <v>1528</v>
      </c>
      <c r="F706" s="26" t="s">
        <v>1502</v>
      </c>
      <c r="G706" s="26" t="s">
        <v>1529</v>
      </c>
      <c r="J706" s="26" t="s">
        <v>1522</v>
      </c>
      <c r="L706" s="26" t="s">
        <v>32</v>
      </c>
      <c r="N706" s="28">
        <v>45376</v>
      </c>
      <c r="O706" s="45">
        <v>45657</v>
      </c>
      <c r="P706" s="26">
        <v>52</v>
      </c>
      <c r="Q706" s="35" t="s">
        <v>34</v>
      </c>
      <c r="R706" s="29">
        <v>264383000</v>
      </c>
      <c r="S706" s="26"/>
      <c r="T706" s="29">
        <v>154000000</v>
      </c>
      <c r="U706" s="36">
        <f>T706/R706</f>
        <v>0.58248828404246866</v>
      </c>
      <c r="X706" s="26" t="s">
        <v>126</v>
      </c>
    </row>
    <row r="707" spans="1:24" x14ac:dyDescent="0.35">
      <c r="A707" s="26" t="s">
        <v>1530</v>
      </c>
      <c r="B707" s="32" t="s">
        <v>1531</v>
      </c>
      <c r="C707" s="26" t="s">
        <v>1531</v>
      </c>
      <c r="D707" s="26" t="s">
        <v>909</v>
      </c>
      <c r="E707" s="26" t="s">
        <v>1528</v>
      </c>
      <c r="F707" s="26" t="s">
        <v>1502</v>
      </c>
      <c r="G707" s="26" t="s">
        <v>1529</v>
      </c>
      <c r="J707" s="26" t="s">
        <v>574</v>
      </c>
      <c r="L707" s="26" t="s">
        <v>32</v>
      </c>
      <c r="N707" s="28">
        <v>45292</v>
      </c>
      <c r="O707" s="45">
        <v>45657</v>
      </c>
      <c r="P707" s="26">
        <v>52</v>
      </c>
      <c r="Q707" s="35" t="s">
        <v>49</v>
      </c>
      <c r="R707" s="29">
        <v>150000000</v>
      </c>
      <c r="S707" s="26"/>
      <c r="T707" s="29">
        <v>0</v>
      </c>
      <c r="U707" s="36">
        <v>0</v>
      </c>
      <c r="X707" s="26" t="s">
        <v>126</v>
      </c>
    </row>
    <row r="708" spans="1:24" x14ac:dyDescent="0.35">
      <c r="A708" s="26" t="s">
        <v>1532</v>
      </c>
      <c r="B708" s="32" t="s">
        <v>1533</v>
      </c>
      <c r="C708" s="26" t="s">
        <v>1533</v>
      </c>
      <c r="D708" s="26" t="s">
        <v>28</v>
      </c>
      <c r="E708" s="26" t="s">
        <v>1528</v>
      </c>
      <c r="F708" s="26" t="s">
        <v>1502</v>
      </c>
      <c r="G708" s="26" t="s">
        <v>1529</v>
      </c>
      <c r="J708" s="26" t="s">
        <v>1522</v>
      </c>
      <c r="L708" s="26" t="s">
        <v>32</v>
      </c>
      <c r="N708" s="28">
        <v>45292</v>
      </c>
      <c r="O708" s="45">
        <v>45657</v>
      </c>
      <c r="P708" s="26">
        <v>52</v>
      </c>
      <c r="Q708" s="35" t="s">
        <v>49</v>
      </c>
      <c r="R708" s="29">
        <v>153203424</v>
      </c>
      <c r="S708" s="26"/>
      <c r="T708" s="29">
        <v>0</v>
      </c>
      <c r="U708" s="36">
        <v>0</v>
      </c>
      <c r="X708" s="26" t="s">
        <v>126</v>
      </c>
    </row>
    <row r="709" spans="1:24" x14ac:dyDescent="0.35">
      <c r="A709" s="26" t="s">
        <v>1534</v>
      </c>
      <c r="B709" s="32" t="s">
        <v>1535</v>
      </c>
      <c r="C709" s="26" t="s">
        <v>1535</v>
      </c>
      <c r="D709" s="26" t="s">
        <v>28</v>
      </c>
      <c r="E709" s="26" t="s">
        <v>1528</v>
      </c>
      <c r="F709" s="26" t="s">
        <v>1502</v>
      </c>
      <c r="G709" s="26" t="s">
        <v>1529</v>
      </c>
      <c r="J709" s="26" t="s">
        <v>1536</v>
      </c>
      <c r="L709" s="26" t="s">
        <v>32</v>
      </c>
      <c r="N709" s="28">
        <v>45292</v>
      </c>
      <c r="O709" s="45">
        <v>45657</v>
      </c>
      <c r="P709" s="26">
        <v>52</v>
      </c>
      <c r="Q709" s="35" t="s">
        <v>49</v>
      </c>
      <c r="R709" s="29">
        <v>120000000</v>
      </c>
      <c r="S709" s="26"/>
      <c r="T709" s="29">
        <v>0</v>
      </c>
      <c r="U709" s="36">
        <v>0</v>
      </c>
      <c r="X709" s="26" t="s">
        <v>126</v>
      </c>
    </row>
    <row r="710" spans="1:24" x14ac:dyDescent="0.35">
      <c r="A710" s="26" t="s">
        <v>1537</v>
      </c>
      <c r="B710" s="32" t="s">
        <v>1538</v>
      </c>
      <c r="C710" s="26" t="s">
        <v>1538</v>
      </c>
      <c r="D710" s="26" t="s">
        <v>28</v>
      </c>
      <c r="E710" s="26" t="s">
        <v>1528</v>
      </c>
      <c r="F710" s="26" t="s">
        <v>1502</v>
      </c>
      <c r="G710" s="26" t="s">
        <v>1529</v>
      </c>
      <c r="J710" s="26" t="s">
        <v>574</v>
      </c>
      <c r="L710" s="26" t="s">
        <v>32</v>
      </c>
      <c r="N710" s="28">
        <v>45292</v>
      </c>
      <c r="O710" s="45">
        <v>45657</v>
      </c>
      <c r="P710" s="26">
        <v>52</v>
      </c>
      <c r="Q710" s="35" t="s">
        <v>49</v>
      </c>
      <c r="R710" s="29">
        <v>120000000</v>
      </c>
      <c r="S710" s="26"/>
      <c r="T710" s="29">
        <v>0</v>
      </c>
      <c r="U710" s="36">
        <v>0</v>
      </c>
      <c r="X710" s="26" t="s">
        <v>126</v>
      </c>
    </row>
    <row r="711" spans="1:24" x14ac:dyDescent="0.35">
      <c r="A711" s="26" t="s">
        <v>1539</v>
      </c>
      <c r="B711" s="32" t="s">
        <v>1540</v>
      </c>
      <c r="C711" s="26" t="s">
        <v>1540</v>
      </c>
      <c r="D711" s="26" t="s">
        <v>28</v>
      </c>
      <c r="E711" s="26" t="s">
        <v>1528</v>
      </c>
      <c r="F711" s="26" t="s">
        <v>1502</v>
      </c>
      <c r="G711" s="26" t="s">
        <v>1529</v>
      </c>
      <c r="J711" s="26" t="s">
        <v>1522</v>
      </c>
      <c r="L711" s="26" t="s">
        <v>32</v>
      </c>
      <c r="N711" s="28">
        <v>45292</v>
      </c>
      <c r="O711" s="45">
        <v>45657</v>
      </c>
      <c r="P711" s="26">
        <v>52</v>
      </c>
      <c r="Q711" s="35" t="s">
        <v>49</v>
      </c>
      <c r="R711" s="29">
        <v>80000000</v>
      </c>
      <c r="S711" s="26"/>
      <c r="T711" s="29">
        <v>0</v>
      </c>
      <c r="U711" s="36">
        <v>0</v>
      </c>
      <c r="X711" s="26" t="s">
        <v>126</v>
      </c>
    </row>
    <row r="712" spans="1:24" ht="15.5" x14ac:dyDescent="0.35">
      <c r="A712" s="26" t="s">
        <v>1541</v>
      </c>
      <c r="B712" s="32" t="s">
        <v>1542</v>
      </c>
      <c r="C712" s="39" t="s">
        <v>1543</v>
      </c>
      <c r="D712" s="26" t="s">
        <v>77</v>
      </c>
      <c r="E712" s="26" t="s">
        <v>1528</v>
      </c>
      <c r="F712" s="26" t="s">
        <v>1502</v>
      </c>
      <c r="G712" s="26" t="s">
        <v>1529</v>
      </c>
      <c r="J712" s="26" t="s">
        <v>1536</v>
      </c>
      <c r="L712" s="26" t="s">
        <v>32</v>
      </c>
      <c r="N712" s="28">
        <v>45292</v>
      </c>
      <c r="O712" s="45">
        <v>45657</v>
      </c>
      <c r="P712" s="26">
        <v>52</v>
      </c>
      <c r="Q712" s="35" t="s">
        <v>49</v>
      </c>
      <c r="R712" s="29">
        <v>300000000</v>
      </c>
      <c r="S712" s="26"/>
      <c r="T712" s="29">
        <v>0</v>
      </c>
      <c r="U712" s="36">
        <v>0</v>
      </c>
      <c r="X712" s="26" t="s">
        <v>126</v>
      </c>
    </row>
    <row r="713" spans="1:24" ht="15.5" x14ac:dyDescent="0.35">
      <c r="A713" s="26" t="s">
        <v>1544</v>
      </c>
      <c r="B713" s="32" t="s">
        <v>1545</v>
      </c>
      <c r="C713" s="26" t="s">
        <v>1546</v>
      </c>
      <c r="D713" s="26" t="s">
        <v>77</v>
      </c>
      <c r="E713" s="26" t="s">
        <v>1528</v>
      </c>
      <c r="F713" s="26" t="s">
        <v>1502</v>
      </c>
      <c r="G713" s="26" t="s">
        <v>1529</v>
      </c>
      <c r="J713" s="26" t="s">
        <v>574</v>
      </c>
      <c r="L713" s="26" t="s">
        <v>32</v>
      </c>
      <c r="N713" s="28">
        <v>45292</v>
      </c>
      <c r="O713" s="45">
        <v>45657</v>
      </c>
      <c r="P713" s="26">
        <v>52</v>
      </c>
      <c r="Q713" s="35" t="s">
        <v>34</v>
      </c>
      <c r="R713" s="46">
        <v>2370302169.0999999</v>
      </c>
      <c r="S713" s="26"/>
      <c r="T713" s="29">
        <v>0</v>
      </c>
      <c r="U713" s="36">
        <v>0</v>
      </c>
      <c r="X713" s="26" t="s">
        <v>126</v>
      </c>
    </row>
    <row r="714" spans="1:24" x14ac:dyDescent="0.35">
      <c r="A714" s="26" t="s">
        <v>1547</v>
      </c>
      <c r="B714" s="32" t="s">
        <v>1548</v>
      </c>
      <c r="C714" s="26" t="s">
        <v>1548</v>
      </c>
      <c r="D714" s="26" t="s">
        <v>229</v>
      </c>
      <c r="E714" s="26" t="s">
        <v>1528</v>
      </c>
      <c r="F714" s="26" t="s">
        <v>1502</v>
      </c>
      <c r="G714" s="26" t="s">
        <v>1529</v>
      </c>
      <c r="J714" s="26" t="s">
        <v>1522</v>
      </c>
      <c r="L714" s="26" t="s">
        <v>32</v>
      </c>
      <c r="N714" s="28">
        <v>45292</v>
      </c>
      <c r="O714" s="45">
        <v>45657</v>
      </c>
      <c r="P714" s="26">
        <v>52</v>
      </c>
      <c r="Q714" s="35" t="s">
        <v>49</v>
      </c>
      <c r="R714" s="29">
        <v>250000000</v>
      </c>
      <c r="S714" s="26"/>
      <c r="T714" s="29">
        <v>0</v>
      </c>
      <c r="U714" s="36">
        <v>0</v>
      </c>
      <c r="X714" s="26" t="s">
        <v>126</v>
      </c>
    </row>
    <row r="715" spans="1:24" ht="15.5" x14ac:dyDescent="0.35">
      <c r="A715" s="26" t="s">
        <v>1549</v>
      </c>
      <c r="B715" s="32" t="s">
        <v>1550</v>
      </c>
      <c r="C715" s="26" t="s">
        <v>1551</v>
      </c>
      <c r="D715" s="26" t="s">
        <v>95</v>
      </c>
      <c r="E715" s="26" t="s">
        <v>1528</v>
      </c>
      <c r="F715" s="26" t="s">
        <v>1502</v>
      </c>
      <c r="G715" s="26" t="s">
        <v>1529</v>
      </c>
      <c r="J715" s="26" t="s">
        <v>574</v>
      </c>
      <c r="L715" s="26" t="s">
        <v>32</v>
      </c>
      <c r="N715" s="28">
        <v>45292</v>
      </c>
      <c r="O715" s="45">
        <v>45657</v>
      </c>
      <c r="P715" s="26">
        <v>52</v>
      </c>
      <c r="Q715" s="35" t="s">
        <v>34</v>
      </c>
      <c r="R715" s="29">
        <v>341580148.76999998</v>
      </c>
      <c r="S715" s="26"/>
      <c r="T715" s="46">
        <v>202198468.62</v>
      </c>
      <c r="U715" s="36">
        <f>T715/R715</f>
        <v>0.59195029145604294</v>
      </c>
      <c r="X715" s="26" t="s">
        <v>126</v>
      </c>
    </row>
    <row r="716" spans="1:24" x14ac:dyDescent="0.35">
      <c r="A716" s="26" t="s">
        <v>1552</v>
      </c>
      <c r="B716" s="32" t="s">
        <v>1553</v>
      </c>
      <c r="C716" s="26" t="s">
        <v>1553</v>
      </c>
      <c r="D716" s="26" t="s">
        <v>1554</v>
      </c>
      <c r="E716" s="26" t="s">
        <v>1528</v>
      </c>
      <c r="F716" s="26" t="s">
        <v>1502</v>
      </c>
      <c r="G716" s="26" t="s">
        <v>1529</v>
      </c>
      <c r="J716" s="26" t="s">
        <v>1522</v>
      </c>
      <c r="L716" s="26" t="s">
        <v>32</v>
      </c>
      <c r="N716" s="28">
        <v>45292</v>
      </c>
      <c r="O716" s="45">
        <v>45657</v>
      </c>
      <c r="P716" s="26">
        <v>52</v>
      </c>
      <c r="Q716" s="35" t="s">
        <v>49</v>
      </c>
      <c r="R716" s="29">
        <v>200000000</v>
      </c>
      <c r="S716" s="26"/>
      <c r="T716" s="29">
        <v>0</v>
      </c>
      <c r="U716" s="36">
        <v>0</v>
      </c>
      <c r="X716" s="26" t="s">
        <v>126</v>
      </c>
    </row>
    <row r="717" spans="1:24" ht="31" x14ac:dyDescent="0.35">
      <c r="A717" s="26" t="s">
        <v>1555</v>
      </c>
      <c r="B717" s="32" t="s">
        <v>1556</v>
      </c>
      <c r="C717" s="39" t="s">
        <v>1557</v>
      </c>
      <c r="D717" s="26" t="s">
        <v>109</v>
      </c>
      <c r="E717" s="26" t="s">
        <v>1528</v>
      </c>
      <c r="F717" s="26" t="s">
        <v>1502</v>
      </c>
      <c r="G717" s="26" t="s">
        <v>1529</v>
      </c>
      <c r="J717" s="26" t="s">
        <v>113</v>
      </c>
      <c r="L717" s="26" t="s">
        <v>32</v>
      </c>
      <c r="N717" s="28">
        <v>45292</v>
      </c>
      <c r="O717" s="45">
        <v>45657</v>
      </c>
      <c r="P717" s="26">
        <v>52</v>
      </c>
      <c r="Q717" s="35" t="s">
        <v>49</v>
      </c>
      <c r="R717" s="46">
        <v>4300438628.7600002</v>
      </c>
      <c r="S717" s="26"/>
      <c r="T717" s="29">
        <v>0</v>
      </c>
      <c r="U717" s="36">
        <v>0</v>
      </c>
      <c r="X717" s="26" t="s">
        <v>126</v>
      </c>
    </row>
    <row r="718" spans="1:24" ht="15.5" x14ac:dyDescent="0.35">
      <c r="A718" s="26" t="s">
        <v>1558</v>
      </c>
      <c r="B718" s="32" t="s">
        <v>1559</v>
      </c>
      <c r="C718" s="39" t="s">
        <v>1560</v>
      </c>
      <c r="D718" s="26" t="s">
        <v>28</v>
      </c>
      <c r="E718" s="26" t="s">
        <v>1528</v>
      </c>
      <c r="F718" s="26" t="s">
        <v>1502</v>
      </c>
      <c r="G718" s="26" t="s">
        <v>1529</v>
      </c>
      <c r="J718" s="26" t="s">
        <v>31</v>
      </c>
      <c r="L718" s="26" t="s">
        <v>32</v>
      </c>
      <c r="N718" s="28">
        <v>45292</v>
      </c>
      <c r="O718" s="45">
        <v>45657</v>
      </c>
      <c r="P718" s="26">
        <v>52</v>
      </c>
      <c r="Q718" s="35" t="s">
        <v>34</v>
      </c>
      <c r="R718" s="46">
        <v>548780487.79999995</v>
      </c>
      <c r="S718" s="26"/>
      <c r="T718" s="47">
        <v>100000000</v>
      </c>
      <c r="U718" s="36">
        <f>T718/R718</f>
        <v>0.18222222222384199</v>
      </c>
      <c r="X718" s="26" t="s">
        <v>126</v>
      </c>
    </row>
    <row r="719" spans="1:24" x14ac:dyDescent="0.35">
      <c r="A719" s="26" t="s">
        <v>1561</v>
      </c>
      <c r="B719" s="32" t="s">
        <v>1562</v>
      </c>
      <c r="C719" s="26" t="s">
        <v>1562</v>
      </c>
      <c r="D719" s="26" t="s">
        <v>28</v>
      </c>
      <c r="E719" s="26" t="s">
        <v>1528</v>
      </c>
      <c r="F719" s="26" t="s">
        <v>1502</v>
      </c>
      <c r="G719" s="26" t="s">
        <v>1529</v>
      </c>
      <c r="J719" s="26" t="s">
        <v>31</v>
      </c>
      <c r="L719" s="26" t="s">
        <v>32</v>
      </c>
      <c r="N719" s="28">
        <v>45292</v>
      </c>
      <c r="O719" s="45">
        <v>45657</v>
      </c>
      <c r="P719" s="26">
        <v>52</v>
      </c>
      <c r="Q719" s="35" t="s">
        <v>49</v>
      </c>
      <c r="R719" s="29">
        <v>35000000</v>
      </c>
      <c r="S719" s="26"/>
      <c r="T719" s="29">
        <v>0</v>
      </c>
      <c r="U719" s="36">
        <v>0</v>
      </c>
      <c r="X719" s="26" t="s">
        <v>126</v>
      </c>
    </row>
    <row r="720" spans="1:24" x14ac:dyDescent="0.35">
      <c r="A720" s="26" t="s">
        <v>1563</v>
      </c>
      <c r="B720" s="32" t="s">
        <v>1564</v>
      </c>
      <c r="C720" s="26" t="s">
        <v>1564</v>
      </c>
      <c r="D720" s="26" t="s">
        <v>28</v>
      </c>
      <c r="E720" s="26" t="s">
        <v>1528</v>
      </c>
      <c r="F720" s="26" t="s">
        <v>1502</v>
      </c>
      <c r="G720" s="26" t="s">
        <v>1529</v>
      </c>
      <c r="J720" s="26" t="s">
        <v>31</v>
      </c>
      <c r="L720" s="26" t="s">
        <v>32</v>
      </c>
      <c r="N720" s="28">
        <v>45292</v>
      </c>
      <c r="O720" s="45">
        <v>45657</v>
      </c>
      <c r="P720" s="26">
        <v>52</v>
      </c>
      <c r="Q720" s="35" t="s">
        <v>49</v>
      </c>
      <c r="R720" s="29">
        <v>80000000</v>
      </c>
      <c r="S720" s="26"/>
      <c r="T720" s="29">
        <v>0</v>
      </c>
      <c r="U720" s="36">
        <v>0</v>
      </c>
      <c r="X720" s="26" t="s">
        <v>126</v>
      </c>
    </row>
    <row r="721" spans="1:24" x14ac:dyDescent="0.35">
      <c r="A721" s="26" t="s">
        <v>1565</v>
      </c>
      <c r="B721" s="32" t="s">
        <v>1566</v>
      </c>
      <c r="C721" s="26" t="s">
        <v>1566</v>
      </c>
      <c r="D721" s="26" t="s">
        <v>1567</v>
      </c>
      <c r="E721" s="26" t="s">
        <v>1528</v>
      </c>
      <c r="F721" s="26" t="s">
        <v>1502</v>
      </c>
      <c r="G721" s="26" t="s">
        <v>1529</v>
      </c>
      <c r="J721" s="26" t="s">
        <v>1536</v>
      </c>
      <c r="L721" s="26" t="s">
        <v>32</v>
      </c>
      <c r="N721" s="28">
        <v>45292</v>
      </c>
      <c r="O721" s="45">
        <v>45657</v>
      </c>
      <c r="P721" s="26">
        <v>52</v>
      </c>
      <c r="Q721" s="35" t="s">
        <v>49</v>
      </c>
      <c r="R721" s="29">
        <v>250000000</v>
      </c>
      <c r="S721" s="26"/>
      <c r="T721" s="29">
        <v>0</v>
      </c>
      <c r="U721" s="36">
        <v>0</v>
      </c>
      <c r="X721" s="26" t="s">
        <v>126</v>
      </c>
    </row>
    <row r="722" spans="1:24" ht="15.5" x14ac:dyDescent="0.35">
      <c r="A722" s="26" t="s">
        <v>1568</v>
      </c>
      <c r="B722" s="32" t="s">
        <v>1569</v>
      </c>
      <c r="C722" s="39" t="s">
        <v>1570</v>
      </c>
      <c r="D722" s="26" t="s">
        <v>28</v>
      </c>
      <c r="E722" s="26" t="s">
        <v>1528</v>
      </c>
      <c r="F722" s="26" t="s">
        <v>1502</v>
      </c>
      <c r="G722" s="26" t="s">
        <v>1529</v>
      </c>
      <c r="J722" s="26" t="s">
        <v>31</v>
      </c>
      <c r="L722" s="26" t="s">
        <v>32</v>
      </c>
      <c r="N722" s="28">
        <v>45292</v>
      </c>
      <c r="O722" s="45">
        <v>45657</v>
      </c>
      <c r="P722" s="26">
        <v>52</v>
      </c>
      <c r="Q722" s="35" t="s">
        <v>34</v>
      </c>
      <c r="R722" s="46">
        <v>378000000</v>
      </c>
      <c r="S722" s="26"/>
      <c r="T722" s="46">
        <v>160400000</v>
      </c>
      <c r="U722" s="36">
        <f>T722/R722</f>
        <v>0.42433862433862435</v>
      </c>
      <c r="X722" s="26" t="s">
        <v>126</v>
      </c>
    </row>
    <row r="723" spans="1:24" ht="15.5" x14ac:dyDescent="0.35">
      <c r="A723" s="26" t="s">
        <v>2090</v>
      </c>
      <c r="B723" s="39" t="s">
        <v>2091</v>
      </c>
      <c r="C723" s="39" t="s">
        <v>2091</v>
      </c>
      <c r="D723" s="26" t="s">
        <v>28</v>
      </c>
      <c r="E723" s="26" t="s">
        <v>1528</v>
      </c>
      <c r="F723" s="26" t="s">
        <v>1502</v>
      </c>
      <c r="G723" s="26" t="s">
        <v>1529</v>
      </c>
      <c r="J723" s="26" t="s">
        <v>31</v>
      </c>
      <c r="L723" s="26" t="s">
        <v>32</v>
      </c>
      <c r="N723" s="28">
        <v>45292</v>
      </c>
      <c r="O723" s="45">
        <v>45657</v>
      </c>
      <c r="P723" s="26">
        <v>52</v>
      </c>
      <c r="Q723" s="35" t="s">
        <v>34</v>
      </c>
      <c r="R723" s="46">
        <v>30000000</v>
      </c>
      <c r="S723" s="33"/>
      <c r="T723" s="46">
        <v>17508000</v>
      </c>
      <c r="U723" s="36">
        <f>T723/R723</f>
        <v>0.58360000000000001</v>
      </c>
      <c r="X723" s="26" t="s">
        <v>126</v>
      </c>
    </row>
    <row r="724" spans="1:24" x14ac:dyDescent="0.35">
      <c r="A724" s="26" t="s">
        <v>1571</v>
      </c>
      <c r="B724" s="32" t="s">
        <v>1572</v>
      </c>
      <c r="C724" s="26" t="s">
        <v>1572</v>
      </c>
      <c r="D724" s="26" t="s">
        <v>28</v>
      </c>
      <c r="E724" s="26" t="s">
        <v>1573</v>
      </c>
      <c r="F724" s="26" t="s">
        <v>1502</v>
      </c>
      <c r="G724" s="26" t="s">
        <v>1529</v>
      </c>
      <c r="J724" s="26" t="s">
        <v>1574</v>
      </c>
      <c r="L724" s="26" t="s">
        <v>199</v>
      </c>
      <c r="N724" s="28">
        <v>45292</v>
      </c>
      <c r="O724" s="45">
        <v>45657</v>
      </c>
      <c r="P724" s="26">
        <v>52</v>
      </c>
      <c r="Q724" s="35" t="s">
        <v>49</v>
      </c>
      <c r="R724" s="29">
        <v>65000000</v>
      </c>
      <c r="S724" s="26"/>
      <c r="T724" s="29">
        <v>0</v>
      </c>
      <c r="U724" s="36">
        <v>0</v>
      </c>
      <c r="X724" s="26" t="s">
        <v>126</v>
      </c>
    </row>
    <row r="725" spans="1:24" x14ac:dyDescent="0.35">
      <c r="A725" s="26" t="s">
        <v>1575</v>
      </c>
      <c r="B725" s="32" t="s">
        <v>1576</v>
      </c>
      <c r="C725" s="26" t="s">
        <v>1576</v>
      </c>
      <c r="D725" s="26" t="s">
        <v>28</v>
      </c>
      <c r="E725" s="26" t="s">
        <v>1573</v>
      </c>
      <c r="F725" s="26" t="s">
        <v>1502</v>
      </c>
      <c r="G725" s="26" t="s">
        <v>1529</v>
      </c>
      <c r="J725" s="26" t="s">
        <v>426</v>
      </c>
      <c r="L725" s="26" t="s">
        <v>199</v>
      </c>
      <c r="N725" s="28">
        <v>45292</v>
      </c>
      <c r="O725" s="45">
        <v>45657</v>
      </c>
      <c r="P725" s="26">
        <v>52</v>
      </c>
      <c r="Q725" s="35" t="s">
        <v>49</v>
      </c>
      <c r="R725" s="29">
        <v>40000000</v>
      </c>
      <c r="S725" s="26"/>
      <c r="T725" s="29">
        <v>0</v>
      </c>
      <c r="U725" s="36">
        <v>0</v>
      </c>
      <c r="X725" s="26" t="s">
        <v>126</v>
      </c>
    </row>
    <row r="726" spans="1:24" x14ac:dyDescent="0.35">
      <c r="A726" s="26" t="s">
        <v>1577</v>
      </c>
      <c r="B726" s="32" t="s">
        <v>1578</v>
      </c>
      <c r="C726" s="26" t="s">
        <v>1578</v>
      </c>
      <c r="D726" s="26" t="s">
        <v>28</v>
      </c>
      <c r="E726" s="26" t="s">
        <v>1573</v>
      </c>
      <c r="F726" s="26" t="s">
        <v>1502</v>
      </c>
      <c r="G726" s="26" t="s">
        <v>1529</v>
      </c>
      <c r="J726" s="26" t="s">
        <v>426</v>
      </c>
      <c r="L726" s="26" t="s">
        <v>199</v>
      </c>
      <c r="N726" s="28">
        <v>45292</v>
      </c>
      <c r="O726" s="45">
        <v>45657</v>
      </c>
      <c r="P726" s="26">
        <v>52</v>
      </c>
      <c r="Q726" s="35" t="s">
        <v>49</v>
      </c>
      <c r="R726" s="29">
        <v>8890000</v>
      </c>
      <c r="S726" s="26"/>
      <c r="T726" s="29">
        <v>0</v>
      </c>
      <c r="U726" s="36">
        <v>0</v>
      </c>
      <c r="X726" s="26" t="s">
        <v>126</v>
      </c>
    </row>
    <row r="727" spans="1:24" x14ac:dyDescent="0.35">
      <c r="A727" s="26" t="s">
        <v>1579</v>
      </c>
      <c r="B727" s="32" t="s">
        <v>1580</v>
      </c>
      <c r="C727" s="26" t="s">
        <v>1580</v>
      </c>
      <c r="D727" s="26" t="s">
        <v>28</v>
      </c>
      <c r="E727" s="26" t="s">
        <v>1573</v>
      </c>
      <c r="F727" s="26" t="s">
        <v>1502</v>
      </c>
      <c r="G727" s="26" t="s">
        <v>1529</v>
      </c>
      <c r="J727" s="26" t="s">
        <v>426</v>
      </c>
      <c r="L727" s="26" t="s">
        <v>199</v>
      </c>
      <c r="N727" s="28">
        <v>45292</v>
      </c>
      <c r="O727" s="45">
        <v>45657</v>
      </c>
      <c r="P727" s="26">
        <v>52</v>
      </c>
      <c r="Q727" s="35" t="s">
        <v>49</v>
      </c>
      <c r="R727" s="29">
        <v>94000000</v>
      </c>
      <c r="S727" s="26"/>
      <c r="T727" s="29">
        <v>0</v>
      </c>
      <c r="U727" s="36">
        <v>0</v>
      </c>
      <c r="X727" s="26" t="s">
        <v>126</v>
      </c>
    </row>
    <row r="728" spans="1:24" x14ac:dyDescent="0.35">
      <c r="A728" s="26" t="s">
        <v>1581</v>
      </c>
      <c r="B728" s="32" t="s">
        <v>1582</v>
      </c>
      <c r="C728" s="26" t="s">
        <v>1582</v>
      </c>
      <c r="D728" s="26" t="s">
        <v>28</v>
      </c>
      <c r="E728" s="26" t="s">
        <v>1573</v>
      </c>
      <c r="F728" s="26" t="s">
        <v>1502</v>
      </c>
      <c r="G728" s="26" t="s">
        <v>1529</v>
      </c>
      <c r="J728" s="26" t="s">
        <v>31</v>
      </c>
      <c r="L728" s="26" t="s">
        <v>32</v>
      </c>
      <c r="N728" s="28">
        <v>45292</v>
      </c>
      <c r="O728" s="45">
        <v>45657</v>
      </c>
      <c r="P728" s="26">
        <v>52</v>
      </c>
      <c r="Q728" s="35" t="s">
        <v>49</v>
      </c>
      <c r="R728" s="29">
        <v>350000000</v>
      </c>
      <c r="S728" s="26"/>
      <c r="T728" s="29">
        <v>0</v>
      </c>
      <c r="U728" s="36">
        <v>0</v>
      </c>
      <c r="X728" s="26" t="s">
        <v>126</v>
      </c>
    </row>
    <row r="729" spans="1:24" x14ac:dyDescent="0.35">
      <c r="A729" s="26" t="s">
        <v>1583</v>
      </c>
      <c r="B729" s="32" t="s">
        <v>1584</v>
      </c>
      <c r="C729" s="26" t="s">
        <v>1584</v>
      </c>
      <c r="D729" s="26" t="s">
        <v>28</v>
      </c>
      <c r="E729" s="26" t="s">
        <v>1573</v>
      </c>
      <c r="F729" s="26" t="s">
        <v>1502</v>
      </c>
      <c r="G729" s="26" t="s">
        <v>1529</v>
      </c>
      <c r="J729" s="26" t="s">
        <v>31</v>
      </c>
      <c r="L729" s="26" t="s">
        <v>32</v>
      </c>
      <c r="N729" s="28">
        <v>45292</v>
      </c>
      <c r="O729" s="45">
        <v>45657</v>
      </c>
      <c r="P729" s="26">
        <v>52</v>
      </c>
      <c r="Q729" s="35" t="s">
        <v>49</v>
      </c>
      <c r="R729" s="29">
        <v>500000000</v>
      </c>
      <c r="S729" s="26"/>
      <c r="T729" s="29">
        <v>0</v>
      </c>
      <c r="U729" s="36">
        <v>0</v>
      </c>
      <c r="X729" s="26" t="s">
        <v>126</v>
      </c>
    </row>
    <row r="730" spans="1:24" x14ac:dyDescent="0.35">
      <c r="A730" s="26" t="s">
        <v>1585</v>
      </c>
      <c r="B730" s="32" t="s">
        <v>1586</v>
      </c>
      <c r="C730" s="26" t="s">
        <v>1586</v>
      </c>
      <c r="D730" s="26" t="s">
        <v>28</v>
      </c>
      <c r="E730" s="26" t="s">
        <v>1573</v>
      </c>
      <c r="F730" s="26" t="s">
        <v>1502</v>
      </c>
      <c r="G730" s="26" t="s">
        <v>1529</v>
      </c>
      <c r="J730" s="26" t="s">
        <v>31</v>
      </c>
      <c r="L730" s="26" t="s">
        <v>32</v>
      </c>
      <c r="N730" s="28">
        <v>45292</v>
      </c>
      <c r="O730" s="45">
        <v>45657</v>
      </c>
      <c r="P730" s="26">
        <v>52</v>
      </c>
      <c r="Q730" s="35" t="s">
        <v>49</v>
      </c>
      <c r="R730" s="29">
        <v>100000000</v>
      </c>
      <c r="S730" s="26"/>
      <c r="T730" s="29">
        <v>0</v>
      </c>
      <c r="U730" s="36">
        <v>0</v>
      </c>
      <c r="X730" s="26" t="s">
        <v>126</v>
      </c>
    </row>
    <row r="731" spans="1:24" x14ac:dyDescent="0.35">
      <c r="A731" s="26" t="s">
        <v>1587</v>
      </c>
      <c r="B731" s="32" t="s">
        <v>1588</v>
      </c>
      <c r="C731" s="26" t="s">
        <v>1588</v>
      </c>
      <c r="D731" s="26" t="s">
        <v>28</v>
      </c>
      <c r="E731" s="26" t="s">
        <v>1573</v>
      </c>
      <c r="F731" s="26" t="s">
        <v>1502</v>
      </c>
      <c r="G731" s="26" t="s">
        <v>1529</v>
      </c>
      <c r="J731" s="26" t="s">
        <v>1574</v>
      </c>
      <c r="L731" s="26" t="s">
        <v>199</v>
      </c>
      <c r="N731" s="28">
        <v>45292</v>
      </c>
      <c r="O731" s="45">
        <v>45657</v>
      </c>
      <c r="P731" s="26">
        <v>52</v>
      </c>
      <c r="Q731" s="35" t="s">
        <v>49</v>
      </c>
      <c r="R731" s="29">
        <v>2181613362</v>
      </c>
      <c r="S731" s="26"/>
      <c r="T731" s="29">
        <v>0</v>
      </c>
      <c r="U731" s="36">
        <v>0</v>
      </c>
      <c r="X731" s="26" t="s">
        <v>126</v>
      </c>
    </row>
    <row r="732" spans="1:24" x14ac:dyDescent="0.35">
      <c r="A732" s="26" t="s">
        <v>1589</v>
      </c>
      <c r="B732" s="32" t="s">
        <v>1590</v>
      </c>
      <c r="C732" s="26" t="s">
        <v>1590</v>
      </c>
      <c r="D732" s="26" t="s">
        <v>28</v>
      </c>
      <c r="E732" s="26" t="s">
        <v>1573</v>
      </c>
      <c r="F732" s="26" t="s">
        <v>1502</v>
      </c>
      <c r="G732" s="26" t="s">
        <v>1529</v>
      </c>
      <c r="J732" s="26" t="s">
        <v>1574</v>
      </c>
      <c r="L732" s="26" t="s">
        <v>199</v>
      </c>
      <c r="N732" s="28">
        <v>45292</v>
      </c>
      <c r="O732" s="45">
        <v>45657</v>
      </c>
      <c r="P732" s="26">
        <v>52</v>
      </c>
      <c r="Q732" s="35" t="s">
        <v>49</v>
      </c>
      <c r="R732" s="29">
        <v>2000000000</v>
      </c>
      <c r="S732" s="26"/>
      <c r="T732" s="29">
        <v>0</v>
      </c>
      <c r="U732" s="36">
        <v>0</v>
      </c>
      <c r="X732" s="26" t="s">
        <v>126</v>
      </c>
    </row>
    <row r="733" spans="1:24" x14ac:dyDescent="0.35">
      <c r="A733" s="26" t="s">
        <v>1591</v>
      </c>
      <c r="B733" s="32" t="s">
        <v>1592</v>
      </c>
      <c r="C733" s="26" t="s">
        <v>1592</v>
      </c>
      <c r="D733" s="26" t="s">
        <v>28</v>
      </c>
      <c r="E733" s="26" t="s">
        <v>1573</v>
      </c>
      <c r="F733" s="26" t="s">
        <v>1502</v>
      </c>
      <c r="G733" s="26" t="s">
        <v>1529</v>
      </c>
      <c r="J733" s="26" t="s">
        <v>1574</v>
      </c>
      <c r="L733" s="26" t="s">
        <v>199</v>
      </c>
      <c r="N733" s="28">
        <v>45292</v>
      </c>
      <c r="O733" s="45">
        <v>45657</v>
      </c>
      <c r="P733" s="26">
        <v>52</v>
      </c>
      <c r="Q733" s="35" t="s">
        <v>49</v>
      </c>
      <c r="R733" s="29">
        <v>300000000</v>
      </c>
      <c r="S733" s="26"/>
      <c r="T733" s="29">
        <v>0</v>
      </c>
      <c r="U733" s="36">
        <v>0</v>
      </c>
      <c r="X733" s="26" t="s">
        <v>126</v>
      </c>
    </row>
    <row r="734" spans="1:24" x14ac:dyDescent="0.35">
      <c r="A734" s="26" t="s">
        <v>1593</v>
      </c>
      <c r="B734" s="32" t="s">
        <v>1594</v>
      </c>
      <c r="C734" s="26" t="s">
        <v>1594</v>
      </c>
      <c r="D734" s="26" t="s">
        <v>28</v>
      </c>
      <c r="E734" s="26" t="s">
        <v>1573</v>
      </c>
      <c r="F734" s="26" t="s">
        <v>1502</v>
      </c>
      <c r="G734" s="26" t="s">
        <v>1529</v>
      </c>
      <c r="J734" s="26" t="s">
        <v>31</v>
      </c>
      <c r="L734" s="26" t="s">
        <v>32</v>
      </c>
      <c r="N734" s="28">
        <v>45292</v>
      </c>
      <c r="O734" s="45">
        <v>45657</v>
      </c>
      <c r="P734" s="26">
        <v>52</v>
      </c>
      <c r="Q734" s="35" t="s">
        <v>49</v>
      </c>
      <c r="R734" s="29">
        <v>50000000</v>
      </c>
      <c r="S734" s="26"/>
      <c r="T734" s="29">
        <v>0</v>
      </c>
      <c r="U734" s="36">
        <v>0</v>
      </c>
      <c r="X734" s="26" t="s">
        <v>126</v>
      </c>
    </row>
    <row r="735" spans="1:24" x14ac:dyDescent="0.35">
      <c r="A735" s="26" t="s">
        <v>1595</v>
      </c>
      <c r="B735" s="32" t="s">
        <v>1596</v>
      </c>
      <c r="C735" s="26" t="s">
        <v>1596</v>
      </c>
      <c r="D735" s="26" t="s">
        <v>28</v>
      </c>
      <c r="E735" s="26" t="s">
        <v>1573</v>
      </c>
      <c r="F735" s="26" t="s">
        <v>1502</v>
      </c>
      <c r="G735" s="26" t="s">
        <v>1529</v>
      </c>
      <c r="J735" s="26" t="s">
        <v>31</v>
      </c>
      <c r="L735" s="26" t="s">
        <v>32</v>
      </c>
      <c r="N735" s="28">
        <v>45292</v>
      </c>
      <c r="O735" s="45">
        <v>45657</v>
      </c>
      <c r="P735" s="26">
        <v>52</v>
      </c>
      <c r="Q735" s="35" t="s">
        <v>49</v>
      </c>
      <c r="R735" s="29">
        <v>200000000</v>
      </c>
      <c r="S735" s="26"/>
      <c r="T735" s="29">
        <v>0</v>
      </c>
      <c r="U735" s="36">
        <v>0</v>
      </c>
      <c r="X735" s="26" t="s">
        <v>126</v>
      </c>
    </row>
    <row r="736" spans="1:24" x14ac:dyDescent="0.35">
      <c r="A736" s="26" t="s">
        <v>1597</v>
      </c>
      <c r="B736" s="32" t="s">
        <v>1598</v>
      </c>
      <c r="C736" s="26" t="s">
        <v>1598</v>
      </c>
      <c r="D736" s="26" t="s">
        <v>28</v>
      </c>
      <c r="E736" s="26" t="s">
        <v>1573</v>
      </c>
      <c r="F736" s="26" t="s">
        <v>1502</v>
      </c>
      <c r="G736" s="26" t="s">
        <v>1529</v>
      </c>
      <c r="J736" s="26" t="s">
        <v>426</v>
      </c>
      <c r="L736" s="26" t="s">
        <v>199</v>
      </c>
      <c r="N736" s="28">
        <v>45292</v>
      </c>
      <c r="O736" s="45">
        <v>45657</v>
      </c>
      <c r="P736" s="26">
        <v>52</v>
      </c>
      <c r="Q736" s="35" t="s">
        <v>49</v>
      </c>
      <c r="R736" s="29">
        <v>1200000000</v>
      </c>
      <c r="S736" s="26"/>
      <c r="T736" s="29">
        <v>0</v>
      </c>
      <c r="U736" s="36">
        <v>0</v>
      </c>
      <c r="X736" s="26" t="s">
        <v>126</v>
      </c>
    </row>
    <row r="737" spans="1:24" ht="29" x14ac:dyDescent="0.35">
      <c r="A737" s="26" t="s">
        <v>2092</v>
      </c>
      <c r="B737" s="32" t="s">
        <v>2093</v>
      </c>
      <c r="C737" s="26" t="s">
        <v>2093</v>
      </c>
      <c r="D737" s="26" t="s">
        <v>28</v>
      </c>
      <c r="E737" s="26" t="s">
        <v>1573</v>
      </c>
      <c r="F737" s="26" t="s">
        <v>1502</v>
      </c>
      <c r="G737" s="26" t="s">
        <v>1529</v>
      </c>
      <c r="J737" s="26" t="s">
        <v>426</v>
      </c>
      <c r="L737" s="26" t="s">
        <v>199</v>
      </c>
      <c r="N737" s="28">
        <v>45292</v>
      </c>
      <c r="O737" s="45">
        <v>45657</v>
      </c>
      <c r="P737" s="26">
        <v>52</v>
      </c>
      <c r="Q737" s="35" t="s">
        <v>34</v>
      </c>
      <c r="R737" s="41">
        <v>4956000000</v>
      </c>
      <c r="S737" s="33"/>
      <c r="T737" s="41">
        <v>3300000000</v>
      </c>
      <c r="U737" s="36">
        <f>T737/R737</f>
        <v>0.66585956416464886</v>
      </c>
      <c r="X737" s="26" t="s">
        <v>126</v>
      </c>
    </row>
    <row r="738" spans="1:24" x14ac:dyDescent="0.35">
      <c r="A738" s="26" t="s">
        <v>2094</v>
      </c>
      <c r="B738" s="32" t="s">
        <v>2095</v>
      </c>
      <c r="C738" s="26" t="s">
        <v>2095</v>
      </c>
      <c r="D738" s="26" t="s">
        <v>28</v>
      </c>
      <c r="E738" s="26" t="s">
        <v>1573</v>
      </c>
      <c r="F738" s="26" t="s">
        <v>1502</v>
      </c>
      <c r="G738" s="26" t="s">
        <v>1529</v>
      </c>
      <c r="J738" s="26" t="s">
        <v>426</v>
      </c>
      <c r="L738" s="26" t="s">
        <v>199</v>
      </c>
      <c r="N738" s="28">
        <v>45292</v>
      </c>
      <c r="O738" s="45">
        <v>45657</v>
      </c>
      <c r="P738" s="26">
        <v>52</v>
      </c>
      <c r="Q738" s="35" t="s">
        <v>34</v>
      </c>
      <c r="R738" s="41">
        <v>7315460750</v>
      </c>
      <c r="S738" s="33"/>
      <c r="T738" s="41">
        <v>3000000000</v>
      </c>
      <c r="U738" s="36">
        <f>T738/R738</f>
        <v>0.41009036922247172</v>
      </c>
      <c r="X738" s="26" t="s">
        <v>126</v>
      </c>
    </row>
    <row r="739" spans="1:24" x14ac:dyDescent="0.35">
      <c r="A739" s="26" t="s">
        <v>2096</v>
      </c>
      <c r="B739" s="32" t="s">
        <v>2097</v>
      </c>
      <c r="C739" s="26" t="s">
        <v>2097</v>
      </c>
      <c r="D739" s="26" t="s">
        <v>28</v>
      </c>
      <c r="E739" s="26" t="s">
        <v>1573</v>
      </c>
      <c r="F739" s="26" t="s">
        <v>1502</v>
      </c>
      <c r="G739" s="26" t="s">
        <v>1529</v>
      </c>
      <c r="J739" s="26" t="s">
        <v>426</v>
      </c>
      <c r="L739" s="26" t="s">
        <v>199</v>
      </c>
      <c r="N739" s="28">
        <v>45658</v>
      </c>
      <c r="O739" s="45">
        <v>46022</v>
      </c>
      <c r="P739" s="26">
        <v>52</v>
      </c>
      <c r="Q739" s="35" t="s">
        <v>34</v>
      </c>
      <c r="R739" s="41">
        <v>1128750000</v>
      </c>
      <c r="S739" s="33"/>
      <c r="T739" s="41">
        <v>1278750000</v>
      </c>
      <c r="U739" s="36">
        <f>T739/R739</f>
        <v>1.132890365448505</v>
      </c>
      <c r="X739" s="26" t="s">
        <v>126</v>
      </c>
    </row>
    <row r="740" spans="1:24" ht="31" x14ac:dyDescent="0.35">
      <c r="A740" s="26" t="s">
        <v>2098</v>
      </c>
      <c r="B740" s="39" t="s">
        <v>2099</v>
      </c>
      <c r="C740" s="39" t="s">
        <v>2099</v>
      </c>
      <c r="D740" s="26" t="s">
        <v>28</v>
      </c>
      <c r="E740" s="26" t="s">
        <v>1573</v>
      </c>
      <c r="F740" s="26" t="s">
        <v>1502</v>
      </c>
      <c r="G740" s="26" t="s">
        <v>1529</v>
      </c>
      <c r="J740" s="26" t="s">
        <v>426</v>
      </c>
      <c r="L740" s="26" t="s">
        <v>199</v>
      </c>
      <c r="N740" s="28">
        <v>45658</v>
      </c>
      <c r="O740" s="45">
        <v>46022</v>
      </c>
      <c r="P740" s="26">
        <v>52</v>
      </c>
      <c r="Q740" s="35" t="s">
        <v>34</v>
      </c>
      <c r="R740" s="46">
        <v>3109993500</v>
      </c>
      <c r="S740" s="33"/>
      <c r="T740" s="46">
        <v>1117318435.76</v>
      </c>
      <c r="U740" s="36">
        <f>T740/R740</f>
        <v>0.35926712893772927</v>
      </c>
      <c r="X740" s="26" t="s">
        <v>126</v>
      </c>
    </row>
    <row r="741" spans="1:24" ht="15.5" x14ac:dyDescent="0.35">
      <c r="A741" s="26" t="s">
        <v>2100</v>
      </c>
      <c r="B741" s="39" t="s">
        <v>2101</v>
      </c>
      <c r="C741" s="39" t="s">
        <v>2101</v>
      </c>
      <c r="D741" s="26" t="s">
        <v>28</v>
      </c>
      <c r="E741" s="26" t="s">
        <v>1573</v>
      </c>
      <c r="F741" s="26" t="s">
        <v>1502</v>
      </c>
      <c r="G741" s="26" t="s">
        <v>1529</v>
      </c>
      <c r="J741" s="26" t="s">
        <v>426</v>
      </c>
      <c r="L741" s="26" t="s">
        <v>199</v>
      </c>
      <c r="N741" s="28">
        <v>45658</v>
      </c>
      <c r="O741" s="45">
        <v>46022</v>
      </c>
      <c r="P741" s="26">
        <v>52</v>
      </c>
      <c r="Q741" s="35" t="s">
        <v>34</v>
      </c>
      <c r="R741" s="46">
        <v>2759793750</v>
      </c>
      <c r="S741" s="33"/>
      <c r="T741" s="46">
        <v>1000000000</v>
      </c>
      <c r="U741" s="36">
        <f>T741/R741</f>
        <v>0.36234591805999994</v>
      </c>
      <c r="X741" s="26" t="s">
        <v>126</v>
      </c>
    </row>
    <row r="742" spans="1:24" x14ac:dyDescent="0.35">
      <c r="A742" s="26" t="s">
        <v>1599</v>
      </c>
      <c r="B742" s="32" t="s">
        <v>1600</v>
      </c>
      <c r="C742" s="26" t="s">
        <v>1600</v>
      </c>
      <c r="D742" s="26" t="s">
        <v>28</v>
      </c>
      <c r="E742" s="26" t="s">
        <v>1601</v>
      </c>
      <c r="F742" s="26" t="s">
        <v>1249</v>
      </c>
      <c r="G742" s="26" t="s">
        <v>315</v>
      </c>
      <c r="J742" s="26" t="s">
        <v>31</v>
      </c>
      <c r="L742" s="26" t="s">
        <v>40</v>
      </c>
      <c r="N742" s="28">
        <v>45292</v>
      </c>
      <c r="O742" s="45">
        <v>45657</v>
      </c>
      <c r="P742" s="26">
        <v>52</v>
      </c>
      <c r="Q742" s="35" t="s">
        <v>49</v>
      </c>
      <c r="R742" s="29">
        <v>415453500</v>
      </c>
      <c r="S742" s="26"/>
      <c r="T742" s="29">
        <v>0</v>
      </c>
      <c r="U742" s="36">
        <v>0</v>
      </c>
      <c r="X742" s="26" t="s">
        <v>318</v>
      </c>
    </row>
    <row r="743" spans="1:24" x14ac:dyDescent="0.35">
      <c r="A743" s="26" t="s">
        <v>1602</v>
      </c>
      <c r="B743" s="32" t="s">
        <v>1603</v>
      </c>
      <c r="C743" s="26" t="s">
        <v>1603</v>
      </c>
      <c r="D743" s="26" t="s">
        <v>28</v>
      </c>
      <c r="E743" s="26" t="s">
        <v>1601</v>
      </c>
      <c r="F743" s="26" t="s">
        <v>1249</v>
      </c>
      <c r="G743" s="26" t="s">
        <v>315</v>
      </c>
      <c r="J743" s="26" t="s">
        <v>90</v>
      </c>
      <c r="L743" s="26" t="s">
        <v>91</v>
      </c>
      <c r="N743" s="28">
        <v>45292</v>
      </c>
      <c r="O743" s="45">
        <v>45657</v>
      </c>
      <c r="P743" s="26">
        <v>52</v>
      </c>
      <c r="Q743" s="35" t="s">
        <v>49</v>
      </c>
      <c r="R743" s="29">
        <v>15940000</v>
      </c>
      <c r="S743" s="26"/>
      <c r="T743" s="29">
        <v>0</v>
      </c>
      <c r="U743" s="36">
        <v>0</v>
      </c>
      <c r="X743" s="26" t="s">
        <v>1379</v>
      </c>
    </row>
    <row r="744" spans="1:24" x14ac:dyDescent="0.35">
      <c r="A744" s="26" t="s">
        <v>1604</v>
      </c>
      <c r="B744" s="32" t="s">
        <v>1605</v>
      </c>
      <c r="C744" s="26" t="s">
        <v>1605</v>
      </c>
      <c r="D744" s="26" t="s">
        <v>28</v>
      </c>
      <c r="E744" s="26" t="s">
        <v>1601</v>
      </c>
      <c r="F744" s="26" t="s">
        <v>1249</v>
      </c>
      <c r="G744" s="26" t="s">
        <v>315</v>
      </c>
      <c r="J744" s="26" t="s">
        <v>31</v>
      </c>
      <c r="L744" s="26" t="s">
        <v>32</v>
      </c>
      <c r="N744" s="28">
        <v>45292</v>
      </c>
      <c r="O744" s="45">
        <v>45657</v>
      </c>
      <c r="P744" s="26">
        <v>52</v>
      </c>
      <c r="Q744" s="35" t="s">
        <v>49</v>
      </c>
      <c r="R744" s="29">
        <v>10900000</v>
      </c>
      <c r="S744" s="26"/>
      <c r="T744" s="29">
        <v>0</v>
      </c>
      <c r="U744" s="36">
        <v>0</v>
      </c>
      <c r="X744" s="26" t="s">
        <v>318</v>
      </c>
    </row>
    <row r="745" spans="1:24" x14ac:dyDescent="0.35">
      <c r="A745" s="26" t="s">
        <v>1606</v>
      </c>
      <c r="B745" s="32" t="s">
        <v>794</v>
      </c>
      <c r="C745" s="26" t="s">
        <v>794</v>
      </c>
      <c r="D745" s="26" t="s">
        <v>28</v>
      </c>
      <c r="E745" s="26" t="s">
        <v>1601</v>
      </c>
      <c r="F745" s="26" t="s">
        <v>1249</v>
      </c>
      <c r="G745" s="26" t="s">
        <v>315</v>
      </c>
      <c r="J745" s="26" t="s">
        <v>90</v>
      </c>
      <c r="L745" s="26" t="s">
        <v>91</v>
      </c>
      <c r="N745" s="28">
        <v>45292</v>
      </c>
      <c r="O745" s="45">
        <v>45657</v>
      </c>
      <c r="P745" s="26">
        <v>52</v>
      </c>
      <c r="Q745" s="35" t="s">
        <v>49</v>
      </c>
      <c r="R745" s="29">
        <v>187000000</v>
      </c>
      <c r="S745" s="26"/>
      <c r="T745" s="29">
        <v>0</v>
      </c>
      <c r="U745" s="36">
        <v>0</v>
      </c>
      <c r="X745" s="26" t="s">
        <v>1607</v>
      </c>
    </row>
    <row r="746" spans="1:24" x14ac:dyDescent="0.35">
      <c r="A746" s="26" t="s">
        <v>1608</v>
      </c>
      <c r="B746" s="32" t="s">
        <v>1609</v>
      </c>
      <c r="C746" s="26" t="s">
        <v>1609</v>
      </c>
      <c r="D746" s="26" t="s">
        <v>28</v>
      </c>
      <c r="E746" s="26" t="s">
        <v>1601</v>
      </c>
      <c r="F746" s="26" t="s">
        <v>1249</v>
      </c>
      <c r="G746" s="26" t="s">
        <v>315</v>
      </c>
      <c r="J746" s="26" t="s">
        <v>90</v>
      </c>
      <c r="L746" s="26" t="s">
        <v>91</v>
      </c>
      <c r="N746" s="28">
        <v>45292</v>
      </c>
      <c r="O746" s="45">
        <v>45657</v>
      </c>
      <c r="P746" s="26">
        <v>52</v>
      </c>
      <c r="Q746" s="35" t="s">
        <v>49</v>
      </c>
      <c r="R746" s="29">
        <v>120000000</v>
      </c>
      <c r="S746" s="26"/>
      <c r="T746" s="29">
        <v>0</v>
      </c>
      <c r="U746" s="36">
        <v>0</v>
      </c>
      <c r="X746" s="26" t="s">
        <v>1607</v>
      </c>
    </row>
    <row r="747" spans="1:24" x14ac:dyDescent="0.35">
      <c r="A747" s="26" t="s">
        <v>1610</v>
      </c>
      <c r="B747" s="32" t="s">
        <v>1611</v>
      </c>
      <c r="C747" s="26" t="s">
        <v>1611</v>
      </c>
      <c r="D747" s="26" t="s">
        <v>28</v>
      </c>
      <c r="E747" s="26" t="s">
        <v>1601</v>
      </c>
      <c r="F747" s="26" t="s">
        <v>1249</v>
      </c>
      <c r="G747" s="26" t="s">
        <v>315</v>
      </c>
      <c r="J747" s="26" t="s">
        <v>113</v>
      </c>
      <c r="L747" s="26" t="s">
        <v>32</v>
      </c>
      <c r="N747" s="28">
        <v>45292</v>
      </c>
      <c r="O747" s="45">
        <v>45657</v>
      </c>
      <c r="P747" s="26">
        <v>52</v>
      </c>
      <c r="Q747" s="35" t="s">
        <v>49</v>
      </c>
      <c r="R747" s="29">
        <v>100000000</v>
      </c>
      <c r="S747" s="26"/>
      <c r="T747" s="29">
        <v>0</v>
      </c>
      <c r="U747" s="36">
        <v>0</v>
      </c>
      <c r="X747" s="26" t="s">
        <v>1607</v>
      </c>
    </row>
    <row r="748" spans="1:24" x14ac:dyDescent="0.35">
      <c r="A748" s="26" t="s">
        <v>1612</v>
      </c>
      <c r="B748" s="32" t="s">
        <v>1613</v>
      </c>
      <c r="C748" s="26" t="s">
        <v>1613</v>
      </c>
      <c r="D748" s="26" t="s">
        <v>28</v>
      </c>
      <c r="E748" s="26" t="s">
        <v>1601</v>
      </c>
      <c r="F748" s="26" t="s">
        <v>1249</v>
      </c>
      <c r="G748" s="26" t="s">
        <v>315</v>
      </c>
      <c r="J748" s="26" t="s">
        <v>90</v>
      </c>
      <c r="L748" s="26" t="s">
        <v>91</v>
      </c>
      <c r="N748" s="28">
        <v>45292</v>
      </c>
      <c r="O748" s="45">
        <v>45657</v>
      </c>
      <c r="P748" s="26">
        <v>52</v>
      </c>
      <c r="Q748" s="35" t="s">
        <v>49</v>
      </c>
      <c r="R748" s="29">
        <v>100000000</v>
      </c>
      <c r="S748" s="26"/>
      <c r="T748" s="29">
        <v>0</v>
      </c>
      <c r="U748" s="36">
        <v>0</v>
      </c>
      <c r="X748" s="26" t="s">
        <v>1607</v>
      </c>
    </row>
    <row r="749" spans="1:24" x14ac:dyDescent="0.35">
      <c r="A749" s="26" t="s">
        <v>1614</v>
      </c>
      <c r="B749" s="32" t="s">
        <v>1615</v>
      </c>
      <c r="C749" s="26" t="s">
        <v>1615</v>
      </c>
      <c r="D749" s="26" t="s">
        <v>422</v>
      </c>
      <c r="E749" s="26" t="s">
        <v>1601</v>
      </c>
      <c r="F749" s="26" t="s">
        <v>1249</v>
      </c>
      <c r="G749" s="26" t="s">
        <v>315</v>
      </c>
      <c r="J749" s="26" t="s">
        <v>31</v>
      </c>
      <c r="L749" s="26" t="s">
        <v>32</v>
      </c>
      <c r="N749" s="28">
        <v>45292</v>
      </c>
      <c r="O749" s="45">
        <v>45657</v>
      </c>
      <c r="P749" s="26">
        <v>52</v>
      </c>
      <c r="Q749" s="35" t="s">
        <v>49</v>
      </c>
      <c r="R749" s="29">
        <v>636438484</v>
      </c>
      <c r="S749" s="26"/>
      <c r="T749" s="29">
        <v>0</v>
      </c>
      <c r="U749" s="36">
        <v>0</v>
      </c>
      <c r="X749" s="26" t="s">
        <v>318</v>
      </c>
    </row>
    <row r="750" spans="1:24" x14ac:dyDescent="0.35">
      <c r="A750" s="26" t="s">
        <v>1616</v>
      </c>
      <c r="B750" s="32" t="s">
        <v>1617</v>
      </c>
      <c r="C750" s="26" t="s">
        <v>1617</v>
      </c>
      <c r="D750" s="26" t="s">
        <v>306</v>
      </c>
      <c r="E750" s="26" t="s">
        <v>1601</v>
      </c>
      <c r="F750" s="26" t="s">
        <v>1249</v>
      </c>
      <c r="G750" s="26" t="s">
        <v>315</v>
      </c>
      <c r="J750" s="26" t="s">
        <v>31</v>
      </c>
      <c r="L750" s="26" t="s">
        <v>32</v>
      </c>
      <c r="N750" s="28">
        <v>45292</v>
      </c>
      <c r="O750" s="45">
        <v>45657</v>
      </c>
      <c r="P750" s="26">
        <v>52</v>
      </c>
      <c r="Q750" s="35" t="s">
        <v>49</v>
      </c>
      <c r="R750" s="29">
        <v>55000000</v>
      </c>
      <c r="S750" s="26"/>
      <c r="T750" s="29">
        <v>0</v>
      </c>
      <c r="U750" s="36">
        <v>0</v>
      </c>
      <c r="X750" s="26" t="s">
        <v>318</v>
      </c>
    </row>
    <row r="751" spans="1:24" x14ac:dyDescent="0.35">
      <c r="A751" s="26" t="s">
        <v>1618</v>
      </c>
      <c r="B751" s="32" t="s">
        <v>1619</v>
      </c>
      <c r="C751" s="26" t="s">
        <v>1619</v>
      </c>
      <c r="D751" s="26" t="s">
        <v>77</v>
      </c>
      <c r="E751" s="26" t="s">
        <v>1601</v>
      </c>
      <c r="F751" s="26" t="s">
        <v>1249</v>
      </c>
      <c r="G751" s="26" t="s">
        <v>315</v>
      </c>
      <c r="J751" s="26" t="s">
        <v>90</v>
      </c>
      <c r="L751" s="26" t="s">
        <v>91</v>
      </c>
      <c r="N751" s="28">
        <v>45292</v>
      </c>
      <c r="O751" s="45">
        <v>45657</v>
      </c>
      <c r="P751" s="26">
        <v>52</v>
      </c>
      <c r="Q751" s="35" t="s">
        <v>49</v>
      </c>
      <c r="R751" s="29">
        <v>55000000</v>
      </c>
      <c r="S751" s="26"/>
      <c r="T751" s="29">
        <v>0</v>
      </c>
      <c r="U751" s="36">
        <v>0</v>
      </c>
      <c r="X751" s="26" t="s">
        <v>318</v>
      </c>
    </row>
    <row r="752" spans="1:24" ht="29" x14ac:dyDescent="0.35">
      <c r="A752" s="26" t="s">
        <v>1622</v>
      </c>
      <c r="B752" s="32" t="s">
        <v>1623</v>
      </c>
      <c r="C752" s="26" t="s">
        <v>1623</v>
      </c>
      <c r="D752" s="26" t="s">
        <v>28</v>
      </c>
      <c r="E752" s="26" t="s">
        <v>1624</v>
      </c>
      <c r="F752" s="26" t="s">
        <v>1249</v>
      </c>
      <c r="G752" s="26" t="s">
        <v>1625</v>
      </c>
      <c r="J752" s="26" t="s">
        <v>426</v>
      </c>
      <c r="L752" s="26" t="s">
        <v>473</v>
      </c>
      <c r="N752" s="28">
        <v>45292</v>
      </c>
      <c r="O752" s="45">
        <v>45657</v>
      </c>
      <c r="P752" s="26">
        <v>52</v>
      </c>
      <c r="Q752" s="35" t="s">
        <v>49</v>
      </c>
      <c r="R752" s="29">
        <v>9955935.5199999996</v>
      </c>
      <c r="S752" s="26"/>
      <c r="T752" s="29">
        <v>0</v>
      </c>
      <c r="U752" s="36">
        <v>0</v>
      </c>
      <c r="X752" s="26" t="s">
        <v>1626</v>
      </c>
    </row>
    <row r="753" spans="1:24" x14ac:dyDescent="0.35">
      <c r="A753" s="26" t="s">
        <v>1627</v>
      </c>
      <c r="B753" s="32" t="s">
        <v>1628</v>
      </c>
      <c r="C753" s="26" t="s">
        <v>1628</v>
      </c>
      <c r="D753" s="26" t="s">
        <v>28</v>
      </c>
      <c r="E753" s="26" t="s">
        <v>1624</v>
      </c>
      <c r="F753" s="26" t="s">
        <v>1249</v>
      </c>
      <c r="G753" s="26" t="s">
        <v>1625</v>
      </c>
      <c r="J753" s="26" t="s">
        <v>426</v>
      </c>
      <c r="L753" s="26" t="s">
        <v>467</v>
      </c>
      <c r="N753" s="28">
        <v>45292</v>
      </c>
      <c r="O753" s="45">
        <v>45657</v>
      </c>
      <c r="P753" s="26">
        <v>52</v>
      </c>
      <c r="Q753" s="35" t="s">
        <v>49</v>
      </c>
      <c r="R753" s="29">
        <v>5486808.4900000002</v>
      </c>
      <c r="S753" s="26"/>
      <c r="T753" s="29">
        <v>0</v>
      </c>
      <c r="U753" s="36">
        <v>0</v>
      </c>
      <c r="X753" s="26" t="s">
        <v>1626</v>
      </c>
    </row>
    <row r="754" spans="1:24" x14ac:dyDescent="0.35">
      <c r="A754" s="26" t="s">
        <v>1629</v>
      </c>
      <c r="B754" s="32" t="s">
        <v>1630</v>
      </c>
      <c r="C754" s="26" t="s">
        <v>1630</v>
      </c>
      <c r="D754" s="26" t="s">
        <v>28</v>
      </c>
      <c r="E754" s="26" t="s">
        <v>1624</v>
      </c>
      <c r="F754" s="26" t="s">
        <v>1249</v>
      </c>
      <c r="G754" s="26" t="s">
        <v>1625</v>
      </c>
      <c r="J754" s="26" t="s">
        <v>113</v>
      </c>
      <c r="L754" s="26" t="s">
        <v>32</v>
      </c>
      <c r="N754" s="28">
        <v>45292</v>
      </c>
      <c r="O754" s="45">
        <v>45657</v>
      </c>
      <c r="P754" s="26">
        <v>52</v>
      </c>
      <c r="Q754" s="35" t="s">
        <v>49</v>
      </c>
      <c r="R754" s="29">
        <v>397722547</v>
      </c>
      <c r="S754" s="26"/>
      <c r="T754" s="29">
        <v>0</v>
      </c>
      <c r="U754" s="36">
        <v>0</v>
      </c>
      <c r="X754" s="26" t="s">
        <v>1626</v>
      </c>
    </row>
    <row r="755" spans="1:24" x14ac:dyDescent="0.35">
      <c r="A755" s="26" t="s">
        <v>1635</v>
      </c>
      <c r="B755" s="32" t="s">
        <v>1636</v>
      </c>
      <c r="C755" s="26" t="s">
        <v>1636</v>
      </c>
      <c r="D755" s="26" t="s">
        <v>28</v>
      </c>
      <c r="E755" s="26" t="s">
        <v>1637</v>
      </c>
      <c r="F755" s="26" t="s">
        <v>1249</v>
      </c>
      <c r="G755" s="26" t="s">
        <v>1638</v>
      </c>
      <c r="J755" s="26" t="s">
        <v>31</v>
      </c>
      <c r="L755" s="26" t="s">
        <v>32</v>
      </c>
      <c r="N755" s="28">
        <v>45292</v>
      </c>
      <c r="O755" s="45">
        <v>45657</v>
      </c>
      <c r="P755" s="26">
        <v>52</v>
      </c>
      <c r="Q755" s="35" t="s">
        <v>49</v>
      </c>
      <c r="R755" s="29">
        <v>500000000</v>
      </c>
      <c r="S755" s="26"/>
      <c r="T755" s="29">
        <v>0</v>
      </c>
      <c r="U755" s="36">
        <v>0</v>
      </c>
      <c r="X755" s="26" t="s">
        <v>126</v>
      </c>
    </row>
    <row r="756" spans="1:24" x14ac:dyDescent="0.35">
      <c r="A756" s="26" t="s">
        <v>1639</v>
      </c>
      <c r="B756" s="32" t="s">
        <v>1640</v>
      </c>
      <c r="C756" s="26" t="s">
        <v>1640</v>
      </c>
      <c r="D756" s="26" t="s">
        <v>28</v>
      </c>
      <c r="E756" s="26" t="s">
        <v>1637</v>
      </c>
      <c r="F756" s="26" t="s">
        <v>1249</v>
      </c>
      <c r="G756" s="26" t="s">
        <v>1638</v>
      </c>
      <c r="J756" s="26" t="s">
        <v>31</v>
      </c>
      <c r="L756" s="26" t="s">
        <v>32</v>
      </c>
      <c r="N756" s="28">
        <v>45292</v>
      </c>
      <c r="O756" s="45">
        <v>45657</v>
      </c>
      <c r="P756" s="26">
        <v>52</v>
      </c>
      <c r="Q756" s="35" t="s">
        <v>49</v>
      </c>
      <c r="R756" s="29">
        <v>150000000</v>
      </c>
      <c r="S756" s="26"/>
      <c r="T756" s="29">
        <v>0</v>
      </c>
      <c r="U756" s="36">
        <v>0</v>
      </c>
      <c r="X756" s="26" t="s">
        <v>126</v>
      </c>
    </row>
    <row r="757" spans="1:24" x14ac:dyDescent="0.35">
      <c r="A757" s="26" t="s">
        <v>1631</v>
      </c>
      <c r="B757" s="32" t="s">
        <v>1632</v>
      </c>
      <c r="C757" s="26" t="s">
        <v>1632</v>
      </c>
      <c r="D757" s="26" t="s">
        <v>28</v>
      </c>
      <c r="E757" s="26" t="s">
        <v>1633</v>
      </c>
      <c r="F757" s="26" t="s">
        <v>1249</v>
      </c>
      <c r="G757" s="26" t="s">
        <v>1262</v>
      </c>
      <c r="J757" s="26" t="s">
        <v>426</v>
      </c>
      <c r="L757" s="26" t="s">
        <v>1634</v>
      </c>
      <c r="N757" s="28">
        <v>45292</v>
      </c>
      <c r="O757" s="45">
        <v>45657</v>
      </c>
      <c r="P757" s="26">
        <v>52</v>
      </c>
      <c r="Q757" s="35" t="s">
        <v>49</v>
      </c>
      <c r="R757" s="29">
        <v>200000000</v>
      </c>
      <c r="S757" s="26"/>
      <c r="T757" s="29">
        <v>0</v>
      </c>
      <c r="U757" s="36">
        <v>0</v>
      </c>
      <c r="X757" s="26" t="s">
        <v>126</v>
      </c>
    </row>
    <row r="758" spans="1:24" x14ac:dyDescent="0.35">
      <c r="A758" s="26" t="s">
        <v>1246</v>
      </c>
      <c r="B758" s="32" t="s">
        <v>1247</v>
      </c>
      <c r="C758" s="26" t="s">
        <v>1247</v>
      </c>
      <c r="D758" s="26" t="s">
        <v>117</v>
      </c>
      <c r="E758" s="26" t="s">
        <v>1248</v>
      </c>
      <c r="F758" s="26" t="s">
        <v>1249</v>
      </c>
      <c r="G758" s="26" t="s">
        <v>1250</v>
      </c>
      <c r="J758" s="26" t="s">
        <v>31</v>
      </c>
      <c r="L758" s="26" t="s">
        <v>1251</v>
      </c>
      <c r="N758" s="28">
        <v>45292</v>
      </c>
      <c r="O758" s="45">
        <v>45657</v>
      </c>
      <c r="P758" s="26">
        <v>52</v>
      </c>
      <c r="Q758" s="35" t="s">
        <v>49</v>
      </c>
      <c r="R758" s="29">
        <v>107000000</v>
      </c>
      <c r="S758" s="26"/>
      <c r="T758" s="29">
        <v>0</v>
      </c>
      <c r="U758" s="36">
        <v>0</v>
      </c>
      <c r="X758" s="26" t="s">
        <v>1252</v>
      </c>
    </row>
    <row r="759" spans="1:24" x14ac:dyDescent="0.35">
      <c r="A759" s="26" t="s">
        <v>1253</v>
      </c>
      <c r="B759" s="32" t="s">
        <v>1254</v>
      </c>
      <c r="C759" s="26" t="s">
        <v>1254</v>
      </c>
      <c r="D759" s="26" t="s">
        <v>117</v>
      </c>
      <c r="E759" s="26" t="s">
        <v>1248</v>
      </c>
      <c r="F759" s="26" t="s">
        <v>1249</v>
      </c>
      <c r="G759" s="26" t="s">
        <v>1250</v>
      </c>
      <c r="J759" s="26" t="s">
        <v>31</v>
      </c>
      <c r="L759" s="26" t="s">
        <v>1251</v>
      </c>
      <c r="N759" s="28">
        <v>45292</v>
      </c>
      <c r="O759" s="45">
        <v>45657</v>
      </c>
      <c r="P759" s="26">
        <v>52</v>
      </c>
      <c r="Q759" s="35" t="s">
        <v>49</v>
      </c>
      <c r="R759" s="29">
        <v>50000000</v>
      </c>
      <c r="S759" s="26"/>
      <c r="T759" s="29">
        <v>0</v>
      </c>
      <c r="U759" s="36">
        <v>0</v>
      </c>
      <c r="X759" s="26" t="s">
        <v>1252</v>
      </c>
    </row>
    <row r="760" spans="1:24" x14ac:dyDescent="0.35">
      <c r="A760" s="26" t="s">
        <v>1255</v>
      </c>
      <c r="B760" s="32" t="s">
        <v>1256</v>
      </c>
      <c r="C760" s="26" t="s">
        <v>1256</v>
      </c>
      <c r="D760" s="26" t="s">
        <v>117</v>
      </c>
      <c r="E760" s="26" t="s">
        <v>1248</v>
      </c>
      <c r="F760" s="26" t="s">
        <v>1249</v>
      </c>
      <c r="G760" s="26" t="s">
        <v>1250</v>
      </c>
      <c r="J760" s="26" t="s">
        <v>31</v>
      </c>
      <c r="L760" s="26" t="s">
        <v>1251</v>
      </c>
      <c r="N760" s="28">
        <v>45292</v>
      </c>
      <c r="O760" s="45">
        <v>45657</v>
      </c>
      <c r="P760" s="26">
        <v>52</v>
      </c>
      <c r="Q760" s="35" t="s">
        <v>49</v>
      </c>
      <c r="R760" s="29">
        <v>37792881</v>
      </c>
      <c r="S760" s="26"/>
      <c r="T760" s="29">
        <v>0</v>
      </c>
      <c r="U760" s="36">
        <v>0</v>
      </c>
      <c r="X760" s="26" t="s">
        <v>50</v>
      </c>
    </row>
    <row r="761" spans="1:24" x14ac:dyDescent="0.35">
      <c r="A761" s="26" t="s">
        <v>1257</v>
      </c>
      <c r="B761" s="32" t="s">
        <v>1258</v>
      </c>
      <c r="C761" s="26" t="s">
        <v>1258</v>
      </c>
      <c r="D761" s="26" t="s">
        <v>117</v>
      </c>
      <c r="E761" s="26" t="s">
        <v>1248</v>
      </c>
      <c r="F761" s="26" t="s">
        <v>1249</v>
      </c>
      <c r="G761" s="26" t="s">
        <v>1250</v>
      </c>
      <c r="J761" s="26" t="s">
        <v>31</v>
      </c>
      <c r="L761" s="26" t="s">
        <v>1251</v>
      </c>
      <c r="N761" s="28">
        <v>45292</v>
      </c>
      <c r="O761" s="45">
        <v>45657</v>
      </c>
      <c r="P761" s="26">
        <v>52</v>
      </c>
      <c r="Q761" s="35" t="s">
        <v>49</v>
      </c>
      <c r="R761" s="29">
        <v>21000000</v>
      </c>
      <c r="S761" s="26"/>
      <c r="T761" s="29">
        <v>0</v>
      </c>
      <c r="U761" s="36">
        <v>0</v>
      </c>
      <c r="X761" s="26" t="s">
        <v>1252</v>
      </c>
    </row>
    <row r="762" spans="1:24" x14ac:dyDescent="0.35">
      <c r="A762" s="26" t="s">
        <v>2579</v>
      </c>
      <c r="B762" s="32" t="s">
        <v>2580</v>
      </c>
      <c r="C762" s="26" t="s">
        <v>2582</v>
      </c>
      <c r="D762" s="26" t="s">
        <v>117</v>
      </c>
      <c r="E762" s="26" t="s">
        <v>2586</v>
      </c>
      <c r="F762" s="26" t="s">
        <v>1249</v>
      </c>
      <c r="G762" s="26" t="s">
        <v>30</v>
      </c>
      <c r="J762" s="26" t="s">
        <v>113</v>
      </c>
      <c r="L762" s="26" t="s">
        <v>1142</v>
      </c>
      <c r="N762" s="28" t="s">
        <v>2581</v>
      </c>
      <c r="O762" s="45">
        <v>44932</v>
      </c>
      <c r="P762" s="26">
        <v>4</v>
      </c>
      <c r="Q762" s="35" t="s">
        <v>34</v>
      </c>
      <c r="R762" s="29">
        <v>175500000</v>
      </c>
      <c r="S762" s="48"/>
      <c r="T762" s="29">
        <v>175500000</v>
      </c>
      <c r="U762" s="36">
        <v>1</v>
      </c>
      <c r="X762" s="26" t="s">
        <v>698</v>
      </c>
    </row>
    <row r="763" spans="1:24" x14ac:dyDescent="0.35">
      <c r="A763" s="26" t="s">
        <v>1644</v>
      </c>
      <c r="B763" s="32" t="s">
        <v>1645</v>
      </c>
      <c r="C763" s="26" t="s">
        <v>1645</v>
      </c>
      <c r="D763" s="26" t="s">
        <v>28</v>
      </c>
      <c r="E763" s="26" t="s">
        <v>1646</v>
      </c>
      <c r="F763" s="26" t="s">
        <v>1249</v>
      </c>
      <c r="G763" s="26" t="s">
        <v>1284</v>
      </c>
      <c r="J763" s="26" t="s">
        <v>31</v>
      </c>
      <c r="L763" s="26" t="s">
        <v>40</v>
      </c>
      <c r="N763" s="28">
        <v>45292</v>
      </c>
      <c r="O763" s="45">
        <v>45657</v>
      </c>
      <c r="P763" s="26">
        <v>52</v>
      </c>
      <c r="Q763" s="35" t="s">
        <v>49</v>
      </c>
      <c r="R763" s="29">
        <v>21070000</v>
      </c>
      <c r="S763" s="26"/>
      <c r="T763" s="29">
        <v>0</v>
      </c>
      <c r="U763" s="36">
        <v>0</v>
      </c>
      <c r="X763" s="26" t="s">
        <v>1647</v>
      </c>
    </row>
    <row r="764" spans="1:24" x14ac:dyDescent="0.35">
      <c r="A764" s="26" t="s">
        <v>1648</v>
      </c>
      <c r="B764" s="32" t="s">
        <v>1649</v>
      </c>
      <c r="C764" s="26" t="s">
        <v>1649</v>
      </c>
      <c r="D764" s="26" t="s">
        <v>28</v>
      </c>
      <c r="E764" s="26" t="s">
        <v>1646</v>
      </c>
      <c r="F764" s="26" t="s">
        <v>1249</v>
      </c>
      <c r="G764" s="26" t="s">
        <v>1284</v>
      </c>
      <c r="J764" s="26" t="s">
        <v>31</v>
      </c>
      <c r="L764" s="26" t="s">
        <v>32</v>
      </c>
      <c r="N764" s="28">
        <v>45292</v>
      </c>
      <c r="O764" s="45">
        <v>45657</v>
      </c>
      <c r="P764" s="26">
        <v>52</v>
      </c>
      <c r="Q764" s="35" t="s">
        <v>49</v>
      </c>
      <c r="R764" s="29">
        <v>3920000</v>
      </c>
      <c r="S764" s="26"/>
      <c r="T764" s="29">
        <v>0</v>
      </c>
      <c r="U764" s="36">
        <v>0</v>
      </c>
      <c r="X764" s="26" t="s">
        <v>1650</v>
      </c>
    </row>
    <row r="765" spans="1:24" x14ac:dyDescent="0.35">
      <c r="A765" s="26" t="s">
        <v>1651</v>
      </c>
      <c r="B765" s="32" t="s">
        <v>1652</v>
      </c>
      <c r="C765" s="26" t="s">
        <v>1652</v>
      </c>
      <c r="D765" s="26" t="s">
        <v>28</v>
      </c>
      <c r="E765" s="26" t="s">
        <v>1646</v>
      </c>
      <c r="F765" s="26" t="s">
        <v>1249</v>
      </c>
      <c r="G765" s="26" t="s">
        <v>1284</v>
      </c>
      <c r="J765" s="26" t="s">
        <v>31</v>
      </c>
      <c r="L765" s="26" t="s">
        <v>32</v>
      </c>
      <c r="N765" s="28">
        <v>45292</v>
      </c>
      <c r="O765" s="45">
        <v>45657</v>
      </c>
      <c r="P765" s="26">
        <v>52</v>
      </c>
      <c r="Q765" s="35" t="s">
        <v>49</v>
      </c>
      <c r="R765" s="29">
        <v>6860000</v>
      </c>
      <c r="S765" s="26"/>
      <c r="T765" s="29">
        <v>0</v>
      </c>
      <c r="U765" s="36">
        <v>0</v>
      </c>
      <c r="X765" s="26" t="s">
        <v>84</v>
      </c>
    </row>
    <row r="766" spans="1:24" x14ac:dyDescent="0.35">
      <c r="A766" s="26" t="s">
        <v>1653</v>
      </c>
      <c r="B766" s="32" t="s">
        <v>1654</v>
      </c>
      <c r="C766" s="26" t="s">
        <v>1654</v>
      </c>
      <c r="D766" s="26" t="s">
        <v>28</v>
      </c>
      <c r="E766" s="26" t="s">
        <v>1646</v>
      </c>
      <c r="F766" s="26" t="s">
        <v>1249</v>
      </c>
      <c r="G766" s="26" t="s">
        <v>1284</v>
      </c>
      <c r="J766" s="26" t="s">
        <v>31</v>
      </c>
      <c r="L766" s="26" t="s">
        <v>1655</v>
      </c>
      <c r="N766" s="28">
        <v>45292</v>
      </c>
      <c r="O766" s="45">
        <v>45657</v>
      </c>
      <c r="P766" s="26">
        <v>52</v>
      </c>
      <c r="Q766" s="35" t="s">
        <v>49</v>
      </c>
      <c r="R766" s="29">
        <v>14700000</v>
      </c>
      <c r="S766" s="26"/>
      <c r="T766" s="29">
        <v>0</v>
      </c>
      <c r="U766" s="36">
        <v>0</v>
      </c>
      <c r="X766" s="26" t="s">
        <v>55</v>
      </c>
    </row>
    <row r="767" spans="1:24" x14ac:dyDescent="0.35">
      <c r="A767" s="26" t="s">
        <v>1656</v>
      </c>
      <c r="B767" s="32" t="s">
        <v>1657</v>
      </c>
      <c r="C767" s="26" t="s">
        <v>1657</v>
      </c>
      <c r="D767" s="26" t="s">
        <v>422</v>
      </c>
      <c r="E767" s="26" t="s">
        <v>1646</v>
      </c>
      <c r="F767" s="26" t="s">
        <v>1249</v>
      </c>
      <c r="G767" s="26" t="s">
        <v>1284</v>
      </c>
      <c r="J767" s="26" t="s">
        <v>31</v>
      </c>
      <c r="L767" s="26" t="s">
        <v>32</v>
      </c>
      <c r="N767" s="28">
        <v>45292</v>
      </c>
      <c r="O767" s="45">
        <v>45657</v>
      </c>
      <c r="P767" s="26">
        <v>52</v>
      </c>
      <c r="Q767" s="35" t="s">
        <v>49</v>
      </c>
      <c r="R767" s="29">
        <v>7350000</v>
      </c>
      <c r="S767" s="26"/>
      <c r="T767" s="29">
        <v>0</v>
      </c>
      <c r="U767" s="36">
        <v>0</v>
      </c>
      <c r="X767" s="26" t="s">
        <v>55</v>
      </c>
    </row>
    <row r="768" spans="1:24" x14ac:dyDescent="0.35">
      <c r="A768" s="26" t="s">
        <v>1658</v>
      </c>
      <c r="B768" s="32" t="s">
        <v>1659</v>
      </c>
      <c r="C768" s="26" t="s">
        <v>1659</v>
      </c>
      <c r="D768" s="26" t="s">
        <v>28</v>
      </c>
      <c r="E768" s="26" t="s">
        <v>1646</v>
      </c>
      <c r="F768" s="26" t="s">
        <v>1249</v>
      </c>
      <c r="G768" s="26" t="s">
        <v>1284</v>
      </c>
      <c r="J768" s="26" t="s">
        <v>31</v>
      </c>
      <c r="L768" s="26" t="s">
        <v>32</v>
      </c>
      <c r="N768" s="28">
        <v>45292</v>
      </c>
      <c r="O768" s="45">
        <v>45657</v>
      </c>
      <c r="P768" s="26">
        <v>52</v>
      </c>
      <c r="Q768" s="35" t="s">
        <v>49</v>
      </c>
      <c r="R768" s="29">
        <v>2450000</v>
      </c>
      <c r="S768" s="26"/>
      <c r="T768" s="29">
        <v>0</v>
      </c>
      <c r="U768" s="36">
        <v>0</v>
      </c>
      <c r="X768" s="26" t="s">
        <v>1647</v>
      </c>
    </row>
    <row r="769" spans="1:24" x14ac:dyDescent="0.35">
      <c r="A769" s="26" t="s">
        <v>1660</v>
      </c>
      <c r="B769" s="32" t="s">
        <v>1661</v>
      </c>
      <c r="C769" s="26" t="s">
        <v>1661</v>
      </c>
      <c r="D769" s="26" t="s">
        <v>28</v>
      </c>
      <c r="E769" s="26" t="s">
        <v>1646</v>
      </c>
      <c r="F769" s="26" t="s">
        <v>1249</v>
      </c>
      <c r="G769" s="26" t="s">
        <v>1284</v>
      </c>
      <c r="J769" s="26" t="s">
        <v>31</v>
      </c>
      <c r="L769" s="26" t="s">
        <v>32</v>
      </c>
      <c r="N769" s="28">
        <v>45292</v>
      </c>
      <c r="O769" s="45">
        <v>45657</v>
      </c>
      <c r="P769" s="26">
        <v>52</v>
      </c>
      <c r="Q769" s="35" t="s">
        <v>49</v>
      </c>
      <c r="R769" s="29">
        <v>24900000</v>
      </c>
      <c r="S769" s="26"/>
      <c r="T769" s="29">
        <v>0</v>
      </c>
      <c r="U769" s="36">
        <v>0</v>
      </c>
      <c r="X769" s="26" t="s">
        <v>67</v>
      </c>
    </row>
    <row r="770" spans="1:24" x14ac:dyDescent="0.35">
      <c r="A770" s="26" t="s">
        <v>1662</v>
      </c>
      <c r="B770" s="32" t="s">
        <v>986</v>
      </c>
      <c r="C770" s="26" t="s">
        <v>986</v>
      </c>
      <c r="D770" s="26" t="s">
        <v>28</v>
      </c>
      <c r="E770" s="26" t="s">
        <v>1646</v>
      </c>
      <c r="F770" s="26" t="s">
        <v>1249</v>
      </c>
      <c r="G770" s="26" t="s">
        <v>1284</v>
      </c>
      <c r="J770" s="26" t="s">
        <v>31</v>
      </c>
      <c r="L770" s="26" t="s">
        <v>32</v>
      </c>
      <c r="N770" s="28">
        <v>45292</v>
      </c>
      <c r="O770" s="45">
        <v>45657</v>
      </c>
      <c r="P770" s="26">
        <v>52</v>
      </c>
      <c r="Q770" s="35" t="s">
        <v>49</v>
      </c>
      <c r="R770" s="29">
        <v>24500000</v>
      </c>
      <c r="S770" s="26"/>
      <c r="T770" s="29">
        <v>0</v>
      </c>
      <c r="U770" s="36">
        <v>0</v>
      </c>
      <c r="X770" s="26" t="s">
        <v>1663</v>
      </c>
    </row>
    <row r="771" spans="1:24" x14ac:dyDescent="0.35">
      <c r="A771" s="26" t="s">
        <v>1664</v>
      </c>
      <c r="B771" s="32" t="s">
        <v>1665</v>
      </c>
      <c r="C771" s="26" t="s">
        <v>1665</v>
      </c>
      <c r="D771" s="26" t="s">
        <v>28</v>
      </c>
      <c r="E771" s="26" t="s">
        <v>1646</v>
      </c>
      <c r="F771" s="26" t="s">
        <v>1249</v>
      </c>
      <c r="G771" s="26" t="s">
        <v>1284</v>
      </c>
      <c r="J771" s="26" t="s">
        <v>31</v>
      </c>
      <c r="L771" s="26" t="s">
        <v>32</v>
      </c>
      <c r="N771" s="28">
        <v>45292</v>
      </c>
      <c r="O771" s="45">
        <v>45657</v>
      </c>
      <c r="P771" s="26">
        <v>52</v>
      </c>
      <c r="Q771" s="35" t="s">
        <v>49</v>
      </c>
      <c r="R771" s="29">
        <v>2450000</v>
      </c>
      <c r="S771" s="26"/>
      <c r="T771" s="29">
        <v>0</v>
      </c>
      <c r="U771" s="36">
        <v>0</v>
      </c>
      <c r="X771" s="26" t="s">
        <v>67</v>
      </c>
    </row>
    <row r="772" spans="1:24" x14ac:dyDescent="0.35">
      <c r="A772" s="26" t="s">
        <v>1666</v>
      </c>
      <c r="B772" s="32" t="s">
        <v>1667</v>
      </c>
      <c r="C772" s="26" t="s">
        <v>1667</v>
      </c>
      <c r="D772" s="26" t="s">
        <v>28</v>
      </c>
      <c r="E772" s="26" t="s">
        <v>1646</v>
      </c>
      <c r="F772" s="26" t="s">
        <v>1249</v>
      </c>
      <c r="G772" s="26" t="s">
        <v>1284</v>
      </c>
      <c r="J772" s="26" t="s">
        <v>31</v>
      </c>
      <c r="L772" s="26" t="s">
        <v>32</v>
      </c>
      <c r="N772" s="28">
        <v>45292</v>
      </c>
      <c r="O772" s="45">
        <v>45657</v>
      </c>
      <c r="P772" s="26">
        <v>52</v>
      </c>
      <c r="Q772" s="35" t="s">
        <v>49</v>
      </c>
      <c r="R772" s="29">
        <v>2450000</v>
      </c>
      <c r="S772" s="26"/>
      <c r="T772" s="29">
        <v>0</v>
      </c>
      <c r="U772" s="36">
        <v>0</v>
      </c>
      <c r="X772" s="26" t="s">
        <v>1668</v>
      </c>
    </row>
    <row r="773" spans="1:24" x14ac:dyDescent="0.35">
      <c r="A773" s="26" t="s">
        <v>1669</v>
      </c>
      <c r="B773" s="32" t="s">
        <v>1670</v>
      </c>
      <c r="C773" s="26" t="s">
        <v>1670</v>
      </c>
      <c r="D773" s="26" t="s">
        <v>28</v>
      </c>
      <c r="E773" s="26" t="s">
        <v>1646</v>
      </c>
      <c r="F773" s="26" t="s">
        <v>1249</v>
      </c>
      <c r="G773" s="26" t="s">
        <v>1284</v>
      </c>
      <c r="J773" s="26" t="s">
        <v>31</v>
      </c>
      <c r="L773" s="26" t="s">
        <v>32</v>
      </c>
      <c r="N773" s="28">
        <v>45292</v>
      </c>
      <c r="O773" s="45">
        <v>45657</v>
      </c>
      <c r="P773" s="26">
        <v>52</v>
      </c>
      <c r="Q773" s="35" t="s">
        <v>49</v>
      </c>
      <c r="R773" s="29">
        <v>12450000</v>
      </c>
      <c r="S773" s="26"/>
      <c r="T773" s="29">
        <v>0</v>
      </c>
      <c r="U773" s="36">
        <v>0</v>
      </c>
      <c r="X773" s="26" t="s">
        <v>63</v>
      </c>
    </row>
    <row r="774" spans="1:24" x14ac:dyDescent="0.35">
      <c r="A774" s="26" t="s">
        <v>1671</v>
      </c>
      <c r="B774" s="32" t="s">
        <v>1672</v>
      </c>
      <c r="C774" s="26" t="s">
        <v>1672</v>
      </c>
      <c r="D774" s="26" t="s">
        <v>28</v>
      </c>
      <c r="E774" s="26" t="s">
        <v>1646</v>
      </c>
      <c r="F774" s="26" t="s">
        <v>1249</v>
      </c>
      <c r="G774" s="26" t="s">
        <v>1284</v>
      </c>
      <c r="J774" s="26" t="s">
        <v>31</v>
      </c>
      <c r="L774" s="26" t="s">
        <v>32</v>
      </c>
      <c r="N774" s="28">
        <v>45292</v>
      </c>
      <c r="O774" s="45">
        <v>45657</v>
      </c>
      <c r="P774" s="26">
        <v>52</v>
      </c>
      <c r="Q774" s="35" t="s">
        <v>49</v>
      </c>
      <c r="R774" s="29">
        <v>4900000</v>
      </c>
      <c r="S774" s="26"/>
      <c r="T774" s="29">
        <v>0</v>
      </c>
      <c r="U774" s="36">
        <v>0</v>
      </c>
      <c r="X774" s="26" t="s">
        <v>67</v>
      </c>
    </row>
    <row r="775" spans="1:24" x14ac:dyDescent="0.35">
      <c r="A775" s="26" t="s">
        <v>1365</v>
      </c>
      <c r="B775" s="32" t="s">
        <v>1366</v>
      </c>
      <c r="C775" s="26" t="s">
        <v>1366</v>
      </c>
      <c r="D775" s="26" t="s">
        <v>28</v>
      </c>
      <c r="E775" s="26" t="s">
        <v>1367</v>
      </c>
      <c r="F775" s="26" t="s">
        <v>1249</v>
      </c>
      <c r="G775" s="26" t="s">
        <v>1284</v>
      </c>
      <c r="J775" s="26" t="s">
        <v>31</v>
      </c>
      <c r="L775" s="26" t="s">
        <v>78</v>
      </c>
      <c r="N775" s="28">
        <v>45292</v>
      </c>
      <c r="O775" s="45">
        <v>45657</v>
      </c>
      <c r="P775" s="26">
        <v>52</v>
      </c>
      <c r="Q775" s="35" t="s">
        <v>49</v>
      </c>
      <c r="R775" s="29">
        <v>408900000</v>
      </c>
      <c r="S775" s="26"/>
      <c r="T775" s="29">
        <v>0</v>
      </c>
      <c r="U775" s="36">
        <v>0</v>
      </c>
      <c r="X775" s="26" t="s">
        <v>50</v>
      </c>
    </row>
    <row r="776" spans="1:24" x14ac:dyDescent="0.35">
      <c r="A776" s="26" t="s">
        <v>1368</v>
      </c>
      <c r="B776" s="32" t="s">
        <v>1369</v>
      </c>
      <c r="C776" s="26" t="s">
        <v>1369</v>
      </c>
      <c r="D776" s="26" t="s">
        <v>253</v>
      </c>
      <c r="E776" s="26" t="s">
        <v>1367</v>
      </c>
      <c r="F776" s="26" t="s">
        <v>1249</v>
      </c>
      <c r="G776" s="26" t="s">
        <v>1284</v>
      </c>
      <c r="J776" s="26" t="s">
        <v>31</v>
      </c>
      <c r="L776" s="26" t="s">
        <v>40</v>
      </c>
      <c r="N776" s="28">
        <v>45292</v>
      </c>
      <c r="O776" s="45">
        <v>45657</v>
      </c>
      <c r="P776" s="26">
        <v>52</v>
      </c>
      <c r="Q776" s="35" t="s">
        <v>49</v>
      </c>
      <c r="R776" s="29">
        <v>30000000</v>
      </c>
      <c r="S776" s="26"/>
      <c r="T776" s="29">
        <v>0</v>
      </c>
      <c r="U776" s="36">
        <v>0</v>
      </c>
      <c r="X776" s="26" t="s">
        <v>50</v>
      </c>
    </row>
    <row r="777" spans="1:24" x14ac:dyDescent="0.35">
      <c r="A777" s="26" t="s">
        <v>1370</v>
      </c>
      <c r="B777" s="32" t="s">
        <v>1371</v>
      </c>
      <c r="C777" s="26" t="s">
        <v>1371</v>
      </c>
      <c r="D777" s="26" t="s">
        <v>1372</v>
      </c>
      <c r="E777" s="26" t="s">
        <v>1367</v>
      </c>
      <c r="F777" s="26" t="s">
        <v>1249</v>
      </c>
      <c r="G777" s="26" t="s">
        <v>1284</v>
      </c>
      <c r="J777" s="26" t="s">
        <v>31</v>
      </c>
      <c r="L777" s="26" t="s">
        <v>40</v>
      </c>
      <c r="N777" s="28">
        <v>45292</v>
      </c>
      <c r="O777" s="45">
        <v>45657</v>
      </c>
      <c r="P777" s="26">
        <v>52</v>
      </c>
      <c r="Q777" s="35" t="s">
        <v>49</v>
      </c>
      <c r="R777" s="29">
        <v>30000000</v>
      </c>
      <c r="S777" s="26"/>
      <c r="T777" s="29">
        <v>0</v>
      </c>
      <c r="U777" s="36">
        <v>0</v>
      </c>
      <c r="X777" s="26" t="s">
        <v>50</v>
      </c>
    </row>
    <row r="778" spans="1:24" x14ac:dyDescent="0.35">
      <c r="A778" s="26" t="s">
        <v>1373</v>
      </c>
      <c r="B778" s="32" t="s">
        <v>1374</v>
      </c>
      <c r="C778" s="26" t="s">
        <v>1374</v>
      </c>
      <c r="D778" s="26" t="s">
        <v>1375</v>
      </c>
      <c r="E778" s="26" t="s">
        <v>1367</v>
      </c>
      <c r="F778" s="26" t="s">
        <v>1249</v>
      </c>
      <c r="G778" s="26" t="s">
        <v>1284</v>
      </c>
      <c r="J778" s="26" t="s">
        <v>31</v>
      </c>
      <c r="L778" s="26" t="s">
        <v>40</v>
      </c>
      <c r="N778" s="28">
        <v>45292</v>
      </c>
      <c r="O778" s="45">
        <v>45657</v>
      </c>
      <c r="P778" s="26">
        <v>52</v>
      </c>
      <c r="Q778" s="35" t="s">
        <v>49</v>
      </c>
      <c r="R778" s="29">
        <v>150000000</v>
      </c>
      <c r="S778" s="26"/>
      <c r="T778" s="29">
        <v>0</v>
      </c>
      <c r="U778" s="36">
        <v>0</v>
      </c>
      <c r="X778" s="26" t="s">
        <v>50</v>
      </c>
    </row>
    <row r="779" spans="1:24" x14ac:dyDescent="0.35">
      <c r="A779" s="26" t="s">
        <v>1376</v>
      </c>
      <c r="B779" s="32" t="s">
        <v>1377</v>
      </c>
      <c r="C779" s="26" t="s">
        <v>1377</v>
      </c>
      <c r="D779" s="26" t="s">
        <v>28</v>
      </c>
      <c r="E779" s="26" t="s">
        <v>1378</v>
      </c>
      <c r="F779" s="26" t="s">
        <v>1249</v>
      </c>
      <c r="G779" s="26" t="s">
        <v>1262</v>
      </c>
      <c r="J779" s="26" t="s">
        <v>90</v>
      </c>
      <c r="L779" s="26" t="s">
        <v>91</v>
      </c>
      <c r="N779" s="28">
        <v>45292</v>
      </c>
      <c r="O779" s="45">
        <v>45657</v>
      </c>
      <c r="P779" s="26">
        <v>52</v>
      </c>
      <c r="Q779" s="35" t="s">
        <v>49</v>
      </c>
      <c r="R779" s="29">
        <v>150000000</v>
      </c>
      <c r="S779" s="26"/>
      <c r="T779" s="29">
        <v>0</v>
      </c>
      <c r="U779" s="36">
        <v>0</v>
      </c>
      <c r="X779" s="26" t="s">
        <v>1379</v>
      </c>
    </row>
    <row r="780" spans="1:24" x14ac:dyDescent="0.35">
      <c r="A780" s="26" t="s">
        <v>1673</v>
      </c>
      <c r="B780" s="32" t="s">
        <v>1674</v>
      </c>
      <c r="C780" s="26" t="s">
        <v>1674</v>
      </c>
      <c r="D780" s="26" t="s">
        <v>28</v>
      </c>
      <c r="E780" s="26" t="s">
        <v>1675</v>
      </c>
      <c r="F780" s="26" t="s">
        <v>1249</v>
      </c>
      <c r="G780" s="26" t="s">
        <v>1676</v>
      </c>
      <c r="J780" s="26" t="s">
        <v>1574</v>
      </c>
      <c r="L780" s="26" t="s">
        <v>199</v>
      </c>
      <c r="N780" s="28">
        <v>45292</v>
      </c>
      <c r="O780" s="45">
        <v>45657</v>
      </c>
      <c r="P780" s="26">
        <v>52</v>
      </c>
      <c r="Q780" s="35" t="s">
        <v>49</v>
      </c>
      <c r="R780" s="29">
        <v>8898790</v>
      </c>
      <c r="S780" s="26"/>
      <c r="T780" s="29">
        <v>0</v>
      </c>
      <c r="U780" s="36">
        <v>0</v>
      </c>
      <c r="X780" s="26" t="s">
        <v>1168</v>
      </c>
    </row>
    <row r="781" spans="1:24" x14ac:dyDescent="0.35">
      <c r="A781" s="26" t="s">
        <v>1677</v>
      </c>
      <c r="B781" s="32" t="s">
        <v>1678</v>
      </c>
      <c r="C781" s="26" t="s">
        <v>1678</v>
      </c>
      <c r="D781" s="26" t="s">
        <v>28</v>
      </c>
      <c r="E781" s="26" t="s">
        <v>1675</v>
      </c>
      <c r="F781" s="26" t="s">
        <v>1249</v>
      </c>
      <c r="G781" s="26" t="s">
        <v>1676</v>
      </c>
      <c r="J781" s="26" t="s">
        <v>1574</v>
      </c>
      <c r="L781" s="26" t="s">
        <v>1679</v>
      </c>
      <c r="N781" s="28">
        <v>45292</v>
      </c>
      <c r="O781" s="45">
        <v>45657</v>
      </c>
      <c r="P781" s="26">
        <v>52</v>
      </c>
      <c r="Q781" s="35" t="s">
        <v>49</v>
      </c>
      <c r="R781" s="29">
        <v>9101210</v>
      </c>
      <c r="S781" s="26"/>
      <c r="T781" s="29">
        <v>0</v>
      </c>
      <c r="U781" s="36">
        <v>0</v>
      </c>
      <c r="X781" s="26" t="s">
        <v>1168</v>
      </c>
    </row>
    <row r="782" spans="1:24" x14ac:dyDescent="0.35">
      <c r="A782" s="26" t="s">
        <v>1680</v>
      </c>
      <c r="B782" s="32" t="s">
        <v>1681</v>
      </c>
      <c r="C782" s="26" t="s">
        <v>1681</v>
      </c>
      <c r="D782" s="26" t="s">
        <v>28</v>
      </c>
      <c r="E782" s="26" t="s">
        <v>1675</v>
      </c>
      <c r="F782" s="26" t="s">
        <v>1249</v>
      </c>
      <c r="G782" s="26" t="s">
        <v>1676</v>
      </c>
      <c r="J782" s="26" t="s">
        <v>31</v>
      </c>
      <c r="L782" s="26" t="s">
        <v>32</v>
      </c>
      <c r="N782" s="28">
        <v>45292</v>
      </c>
      <c r="O782" s="45">
        <v>45657</v>
      </c>
      <c r="P782" s="26">
        <v>52</v>
      </c>
      <c r="Q782" s="35" t="s">
        <v>49</v>
      </c>
      <c r="R782" s="29">
        <v>2000000</v>
      </c>
      <c r="S782" s="26"/>
      <c r="T782" s="29">
        <v>0</v>
      </c>
      <c r="U782" s="36">
        <v>0</v>
      </c>
      <c r="X782" s="26" t="s">
        <v>1168</v>
      </c>
    </row>
    <row r="783" spans="1:24" x14ac:dyDescent="0.35">
      <c r="A783" s="26" t="s">
        <v>1407</v>
      </c>
      <c r="B783" s="32" t="s">
        <v>1408</v>
      </c>
      <c r="C783" s="26" t="s">
        <v>1408</v>
      </c>
      <c r="D783" s="26" t="s">
        <v>28</v>
      </c>
      <c r="E783" s="26" t="s">
        <v>1409</v>
      </c>
      <c r="F783" s="26" t="s">
        <v>1249</v>
      </c>
      <c r="G783" s="26" t="s">
        <v>315</v>
      </c>
      <c r="J783" s="26" t="s">
        <v>90</v>
      </c>
      <c r="L783" s="26" t="s">
        <v>91</v>
      </c>
      <c r="N783" s="28">
        <v>45292</v>
      </c>
      <c r="O783" s="45">
        <v>45657</v>
      </c>
      <c r="P783" s="26">
        <v>52</v>
      </c>
      <c r="Q783" s="35" t="s">
        <v>49</v>
      </c>
      <c r="R783" s="29">
        <v>24950100</v>
      </c>
      <c r="S783" s="26"/>
      <c r="T783" s="29">
        <v>0</v>
      </c>
      <c r="U783" s="36">
        <v>0</v>
      </c>
      <c r="X783" s="26" t="s">
        <v>50</v>
      </c>
    </row>
    <row r="784" spans="1:24" x14ac:dyDescent="0.35">
      <c r="A784" s="26" t="s">
        <v>1410</v>
      </c>
      <c r="B784" s="32" t="s">
        <v>1411</v>
      </c>
      <c r="C784" s="26" t="s">
        <v>1411</v>
      </c>
      <c r="D784" s="26" t="s">
        <v>28</v>
      </c>
      <c r="E784" s="26" t="s">
        <v>1409</v>
      </c>
      <c r="F784" s="26" t="s">
        <v>1249</v>
      </c>
      <c r="G784" s="26" t="s">
        <v>315</v>
      </c>
      <c r="J784" s="26" t="s">
        <v>90</v>
      </c>
      <c r="L784" s="26" t="s">
        <v>91</v>
      </c>
      <c r="N784" s="28">
        <v>45292</v>
      </c>
      <c r="O784" s="45">
        <v>45657</v>
      </c>
      <c r="P784" s="26">
        <v>52</v>
      </c>
      <c r="Q784" s="35" t="s">
        <v>49</v>
      </c>
      <c r="R784" s="29">
        <v>50000000</v>
      </c>
      <c r="S784" s="26"/>
      <c r="T784" s="29">
        <v>0</v>
      </c>
      <c r="U784" s="36">
        <v>0</v>
      </c>
      <c r="X784" s="26" t="s">
        <v>318</v>
      </c>
    </row>
    <row r="785" spans="1:24" x14ac:dyDescent="0.35">
      <c r="A785" s="26" t="s">
        <v>2617</v>
      </c>
      <c r="B785" s="32" t="s">
        <v>1723</v>
      </c>
      <c r="C785" s="26" t="s">
        <v>1723</v>
      </c>
      <c r="D785" s="26" t="s">
        <v>28</v>
      </c>
      <c r="E785" s="26" t="s">
        <v>1691</v>
      </c>
      <c r="F785" s="26" t="s">
        <v>1283</v>
      </c>
      <c r="G785" s="26" t="s">
        <v>162</v>
      </c>
      <c r="J785" s="26" t="s">
        <v>31</v>
      </c>
      <c r="L785" s="26" t="s">
        <v>40</v>
      </c>
      <c r="N785" s="28">
        <v>44967</v>
      </c>
      <c r="O785" s="49" t="s">
        <v>1722</v>
      </c>
      <c r="P785" s="26">
        <v>12</v>
      </c>
      <c r="Q785" s="35" t="s">
        <v>211</v>
      </c>
      <c r="R785" s="29">
        <v>500000000</v>
      </c>
      <c r="S785" s="26"/>
      <c r="T785" s="29">
        <v>500000000</v>
      </c>
      <c r="U785" s="36">
        <v>1</v>
      </c>
      <c r="X785" s="26" t="s">
        <v>165</v>
      </c>
    </row>
    <row r="786" spans="1:24" x14ac:dyDescent="0.35">
      <c r="A786" s="26" t="s">
        <v>1724</v>
      </c>
      <c r="B786" s="32" t="s">
        <v>1725</v>
      </c>
      <c r="C786" s="26" t="s">
        <v>1725</v>
      </c>
      <c r="D786" s="26" t="s">
        <v>28</v>
      </c>
      <c r="E786" s="26" t="s">
        <v>1726</v>
      </c>
      <c r="F786" s="26" t="s">
        <v>1249</v>
      </c>
      <c r="G786" s="26" t="s">
        <v>1727</v>
      </c>
      <c r="J786" s="26" t="s">
        <v>31</v>
      </c>
      <c r="L786" s="26" t="s">
        <v>40</v>
      </c>
      <c r="N786" s="28">
        <v>45292</v>
      </c>
      <c r="O786" s="45">
        <v>45657</v>
      </c>
      <c r="P786" s="26">
        <v>52</v>
      </c>
      <c r="Q786" s="35" t="s">
        <v>49</v>
      </c>
      <c r="R786" s="29">
        <v>26000000</v>
      </c>
      <c r="S786" s="26"/>
      <c r="T786" s="29">
        <v>0</v>
      </c>
      <c r="U786" s="36">
        <v>0</v>
      </c>
      <c r="X786" s="26" t="s">
        <v>63</v>
      </c>
    </row>
    <row r="787" spans="1:24" x14ac:dyDescent="0.35">
      <c r="A787" s="26" t="s">
        <v>1728</v>
      </c>
      <c r="B787" s="32" t="s">
        <v>1729</v>
      </c>
      <c r="C787" s="26" t="s">
        <v>1729</v>
      </c>
      <c r="D787" s="26" t="s">
        <v>28</v>
      </c>
      <c r="E787" s="26" t="s">
        <v>1726</v>
      </c>
      <c r="F787" s="26" t="s">
        <v>1249</v>
      </c>
      <c r="G787" s="26" t="s">
        <v>1727</v>
      </c>
      <c r="J787" s="26" t="s">
        <v>31</v>
      </c>
      <c r="L787" s="26" t="s">
        <v>40</v>
      </c>
      <c r="N787" s="28">
        <v>45292</v>
      </c>
      <c r="O787" s="45">
        <v>45657</v>
      </c>
      <c r="P787" s="26">
        <v>52</v>
      </c>
      <c r="Q787" s="35" t="s">
        <v>49</v>
      </c>
      <c r="R787" s="29">
        <v>40000000</v>
      </c>
      <c r="S787" s="26"/>
      <c r="T787" s="29">
        <v>0</v>
      </c>
      <c r="U787" s="36">
        <v>0</v>
      </c>
      <c r="X787" s="26" t="s">
        <v>55</v>
      </c>
    </row>
    <row r="788" spans="1:24" x14ac:dyDescent="0.35">
      <c r="A788" s="26" t="s">
        <v>1730</v>
      </c>
      <c r="B788" s="32" t="s">
        <v>1731</v>
      </c>
      <c r="C788" s="26" t="s">
        <v>1731</v>
      </c>
      <c r="D788" s="26" t="s">
        <v>28</v>
      </c>
      <c r="E788" s="26" t="s">
        <v>1726</v>
      </c>
      <c r="F788" s="26" t="s">
        <v>1249</v>
      </c>
      <c r="G788" s="26" t="s">
        <v>1727</v>
      </c>
      <c r="J788" s="26" t="s">
        <v>31</v>
      </c>
      <c r="L788" s="26" t="s">
        <v>40</v>
      </c>
      <c r="N788" s="28">
        <v>45292</v>
      </c>
      <c r="O788" s="45">
        <v>45657</v>
      </c>
      <c r="P788" s="26">
        <v>52</v>
      </c>
      <c r="Q788" s="35" t="s">
        <v>49</v>
      </c>
      <c r="R788" s="29">
        <v>40000000</v>
      </c>
      <c r="S788" s="26"/>
      <c r="T788" s="29">
        <v>0</v>
      </c>
      <c r="U788" s="36">
        <v>0</v>
      </c>
      <c r="X788" s="26" t="s">
        <v>55</v>
      </c>
    </row>
    <row r="789" spans="1:24" x14ac:dyDescent="0.35">
      <c r="A789" s="26" t="s">
        <v>1732</v>
      </c>
      <c r="B789" s="32" t="s">
        <v>1733</v>
      </c>
      <c r="C789" s="26" t="s">
        <v>1733</v>
      </c>
      <c r="D789" s="26" t="s">
        <v>28</v>
      </c>
      <c r="E789" s="26" t="s">
        <v>1726</v>
      </c>
      <c r="F789" s="26" t="s">
        <v>1249</v>
      </c>
      <c r="G789" s="26" t="s">
        <v>1727</v>
      </c>
      <c r="J789" s="26" t="s">
        <v>31</v>
      </c>
      <c r="L789" s="26" t="s">
        <v>40</v>
      </c>
      <c r="N789" s="28">
        <v>45292</v>
      </c>
      <c r="O789" s="45">
        <v>45657</v>
      </c>
      <c r="P789" s="26">
        <v>52</v>
      </c>
      <c r="Q789" s="35" t="s">
        <v>49</v>
      </c>
      <c r="R789" s="29">
        <v>4000000</v>
      </c>
      <c r="S789" s="26"/>
      <c r="T789" s="29">
        <v>0</v>
      </c>
      <c r="U789" s="36">
        <v>0</v>
      </c>
      <c r="X789" s="26" t="s">
        <v>67</v>
      </c>
    </row>
    <row r="790" spans="1:24" x14ac:dyDescent="0.35">
      <c r="A790" s="26" t="s">
        <v>1734</v>
      </c>
      <c r="B790" s="32" t="s">
        <v>1735</v>
      </c>
      <c r="C790" s="26" t="s">
        <v>1735</v>
      </c>
      <c r="D790" s="26" t="s">
        <v>1736</v>
      </c>
      <c r="E790" s="26" t="s">
        <v>1726</v>
      </c>
      <c r="F790" s="26" t="s">
        <v>1249</v>
      </c>
      <c r="G790" s="26" t="s">
        <v>1727</v>
      </c>
      <c r="J790" s="26" t="s">
        <v>31</v>
      </c>
      <c r="L790" s="26" t="s">
        <v>40</v>
      </c>
      <c r="N790" s="28">
        <v>45292</v>
      </c>
      <c r="O790" s="45">
        <v>45657</v>
      </c>
      <c r="P790" s="26">
        <v>52</v>
      </c>
      <c r="Q790" s="35" t="s">
        <v>49</v>
      </c>
      <c r="R790" s="29">
        <v>44000000</v>
      </c>
      <c r="S790" s="26"/>
      <c r="T790" s="29">
        <v>0</v>
      </c>
      <c r="U790" s="36">
        <v>0</v>
      </c>
      <c r="X790" s="26" t="s">
        <v>55</v>
      </c>
    </row>
    <row r="791" spans="1:24" x14ac:dyDescent="0.35">
      <c r="A791" s="26" t="s">
        <v>1737</v>
      </c>
      <c r="B791" s="32" t="s">
        <v>1738</v>
      </c>
      <c r="C791" s="26" t="s">
        <v>1738</v>
      </c>
      <c r="D791" s="26" t="s">
        <v>28</v>
      </c>
      <c r="E791" s="26" t="s">
        <v>1726</v>
      </c>
      <c r="F791" s="26" t="s">
        <v>1249</v>
      </c>
      <c r="G791" s="26" t="s">
        <v>1727</v>
      </c>
      <c r="J791" s="26" t="s">
        <v>31</v>
      </c>
      <c r="L791" s="26" t="s">
        <v>40</v>
      </c>
      <c r="N791" s="28">
        <v>45292</v>
      </c>
      <c r="O791" s="45">
        <v>45657</v>
      </c>
      <c r="P791" s="26">
        <v>52</v>
      </c>
      <c r="Q791" s="35" t="s">
        <v>49</v>
      </c>
      <c r="R791" s="29">
        <v>4000000</v>
      </c>
      <c r="S791" s="26"/>
      <c r="T791" s="29">
        <v>0</v>
      </c>
      <c r="U791" s="36">
        <v>0</v>
      </c>
      <c r="X791" s="26" t="s">
        <v>55</v>
      </c>
    </row>
    <row r="792" spans="1:24" x14ac:dyDescent="0.35">
      <c r="A792" s="26" t="s">
        <v>1739</v>
      </c>
      <c r="B792" s="32" t="s">
        <v>1740</v>
      </c>
      <c r="C792" s="26" t="s">
        <v>1740</v>
      </c>
      <c r="D792" s="26" t="s">
        <v>28</v>
      </c>
      <c r="E792" s="26" t="s">
        <v>1726</v>
      </c>
      <c r="F792" s="26" t="s">
        <v>1249</v>
      </c>
      <c r="G792" s="26" t="s">
        <v>1727</v>
      </c>
      <c r="J792" s="26" t="s">
        <v>31</v>
      </c>
      <c r="L792" s="26" t="s">
        <v>40</v>
      </c>
      <c r="N792" s="28">
        <v>45292</v>
      </c>
      <c r="O792" s="45">
        <v>45657</v>
      </c>
      <c r="P792" s="26">
        <v>52</v>
      </c>
      <c r="Q792" s="35" t="s">
        <v>49</v>
      </c>
      <c r="R792" s="29">
        <v>4000000</v>
      </c>
      <c r="S792" s="26"/>
      <c r="T792" s="29">
        <v>0</v>
      </c>
      <c r="U792" s="36">
        <v>0</v>
      </c>
      <c r="X792" s="26" t="s">
        <v>55</v>
      </c>
    </row>
    <row r="793" spans="1:24" x14ac:dyDescent="0.35">
      <c r="A793" s="26" t="s">
        <v>1741</v>
      </c>
      <c r="B793" s="32" t="s">
        <v>1742</v>
      </c>
      <c r="C793" s="26" t="s">
        <v>1742</v>
      </c>
      <c r="D793" s="26" t="s">
        <v>28</v>
      </c>
      <c r="E793" s="26" t="s">
        <v>1726</v>
      </c>
      <c r="F793" s="26" t="s">
        <v>1249</v>
      </c>
      <c r="G793" s="26" t="s">
        <v>1727</v>
      </c>
      <c r="J793" s="26" t="s">
        <v>31</v>
      </c>
      <c r="L793" s="26" t="s">
        <v>40</v>
      </c>
      <c r="N793" s="28">
        <v>45292</v>
      </c>
      <c r="O793" s="45">
        <v>45657</v>
      </c>
      <c r="P793" s="26">
        <v>52</v>
      </c>
      <c r="Q793" s="35" t="s">
        <v>49</v>
      </c>
      <c r="R793" s="29">
        <v>50000000</v>
      </c>
      <c r="S793" s="26"/>
      <c r="T793" s="29">
        <v>0</v>
      </c>
      <c r="U793" s="36">
        <v>0</v>
      </c>
      <c r="X793" s="26" t="s">
        <v>55</v>
      </c>
    </row>
    <row r="794" spans="1:24" x14ac:dyDescent="0.35">
      <c r="A794" s="26" t="s">
        <v>1743</v>
      </c>
      <c r="B794" s="32" t="s">
        <v>1744</v>
      </c>
      <c r="C794" s="26" t="s">
        <v>1744</v>
      </c>
      <c r="D794" s="26" t="s">
        <v>28</v>
      </c>
      <c r="E794" s="26" t="s">
        <v>1726</v>
      </c>
      <c r="F794" s="26" t="s">
        <v>1249</v>
      </c>
      <c r="G794" s="26" t="s">
        <v>1727</v>
      </c>
      <c r="J794" s="26" t="s">
        <v>31</v>
      </c>
      <c r="L794" s="26" t="s">
        <v>40</v>
      </c>
      <c r="N794" s="28">
        <v>45292</v>
      </c>
      <c r="O794" s="45">
        <v>45657</v>
      </c>
      <c r="P794" s="26">
        <v>52</v>
      </c>
      <c r="Q794" s="35" t="s">
        <v>49</v>
      </c>
      <c r="R794" s="29">
        <v>10000000</v>
      </c>
      <c r="S794" s="26"/>
      <c r="T794" s="29">
        <v>0</v>
      </c>
      <c r="U794" s="36">
        <v>0</v>
      </c>
      <c r="X794" s="26" t="s">
        <v>55</v>
      </c>
    </row>
    <row r="795" spans="1:24" x14ac:dyDescent="0.35">
      <c r="A795" s="26" t="s">
        <v>1745</v>
      </c>
      <c r="B795" s="32" t="s">
        <v>1746</v>
      </c>
      <c r="C795" s="26" t="s">
        <v>1746</v>
      </c>
      <c r="D795" s="26" t="s">
        <v>28</v>
      </c>
      <c r="E795" s="26" t="s">
        <v>1726</v>
      </c>
      <c r="F795" s="26" t="s">
        <v>1249</v>
      </c>
      <c r="G795" s="26" t="s">
        <v>1727</v>
      </c>
      <c r="J795" s="26" t="s">
        <v>31</v>
      </c>
      <c r="L795" s="26" t="s">
        <v>40</v>
      </c>
      <c r="N795" s="28">
        <v>45292</v>
      </c>
      <c r="O795" s="45">
        <v>45657</v>
      </c>
      <c r="P795" s="26">
        <v>52</v>
      </c>
      <c r="Q795" s="35" t="s">
        <v>49</v>
      </c>
      <c r="R795" s="29">
        <v>13000000</v>
      </c>
      <c r="S795" s="26"/>
      <c r="T795" s="29">
        <v>0</v>
      </c>
      <c r="U795" s="36">
        <v>0</v>
      </c>
      <c r="X795" s="26" t="s">
        <v>55</v>
      </c>
    </row>
    <row r="796" spans="1:24" x14ac:dyDescent="0.35">
      <c r="A796" s="26" t="s">
        <v>1747</v>
      </c>
      <c r="B796" s="32" t="s">
        <v>1748</v>
      </c>
      <c r="C796" s="26" t="s">
        <v>1748</v>
      </c>
      <c r="D796" s="26" t="s">
        <v>28</v>
      </c>
      <c r="E796" s="26" t="s">
        <v>1726</v>
      </c>
      <c r="F796" s="26" t="s">
        <v>1249</v>
      </c>
      <c r="G796" s="26" t="s">
        <v>1727</v>
      </c>
      <c r="J796" s="26" t="s">
        <v>31</v>
      </c>
      <c r="L796" s="26" t="s">
        <v>40</v>
      </c>
      <c r="N796" s="28">
        <v>45292</v>
      </c>
      <c r="O796" s="45">
        <v>45657</v>
      </c>
      <c r="P796" s="26">
        <v>52</v>
      </c>
      <c r="Q796" s="35" t="s">
        <v>49</v>
      </c>
      <c r="R796" s="29">
        <v>3144160</v>
      </c>
      <c r="S796" s="26"/>
      <c r="T796" s="29">
        <v>0</v>
      </c>
      <c r="U796" s="36">
        <v>0</v>
      </c>
      <c r="X796" s="26" t="s">
        <v>55</v>
      </c>
    </row>
    <row r="797" spans="1:24" x14ac:dyDescent="0.35">
      <c r="A797" s="26" t="s">
        <v>1749</v>
      </c>
      <c r="B797" s="32" t="s">
        <v>1750</v>
      </c>
      <c r="C797" s="26" t="s">
        <v>1750</v>
      </c>
      <c r="D797" s="26" t="s">
        <v>28</v>
      </c>
      <c r="E797" s="26" t="s">
        <v>1726</v>
      </c>
      <c r="F797" s="26" t="s">
        <v>1249</v>
      </c>
      <c r="G797" s="26" t="s">
        <v>1727</v>
      </c>
      <c r="J797" s="26" t="s">
        <v>31</v>
      </c>
      <c r="L797" s="26" t="s">
        <v>32</v>
      </c>
      <c r="N797" s="28">
        <v>45292</v>
      </c>
      <c r="O797" s="45">
        <v>45657</v>
      </c>
      <c r="P797" s="26">
        <v>52</v>
      </c>
      <c r="Q797" s="35" t="s">
        <v>49</v>
      </c>
      <c r="R797" s="29">
        <v>32000000</v>
      </c>
      <c r="S797" s="26"/>
      <c r="T797" s="29">
        <v>0</v>
      </c>
      <c r="U797" s="36">
        <v>0</v>
      </c>
      <c r="X797" s="26" t="s">
        <v>55</v>
      </c>
    </row>
    <row r="798" spans="1:24" x14ac:dyDescent="0.35">
      <c r="A798" s="26" t="s">
        <v>1751</v>
      </c>
      <c r="B798" s="32" t="s">
        <v>1752</v>
      </c>
      <c r="C798" s="26" t="s">
        <v>1752</v>
      </c>
      <c r="D798" s="26" t="s">
        <v>28</v>
      </c>
      <c r="E798" s="26" t="s">
        <v>1726</v>
      </c>
      <c r="F798" s="26" t="s">
        <v>1249</v>
      </c>
      <c r="G798" s="26" t="s">
        <v>1727</v>
      </c>
      <c r="J798" s="26" t="s">
        <v>31</v>
      </c>
      <c r="L798" s="26" t="s">
        <v>32</v>
      </c>
      <c r="N798" s="28">
        <v>45292</v>
      </c>
      <c r="O798" s="45">
        <v>45657</v>
      </c>
      <c r="P798" s="26">
        <v>52</v>
      </c>
      <c r="Q798" s="35" t="s">
        <v>49</v>
      </c>
      <c r="R798" s="29">
        <v>4000000</v>
      </c>
      <c r="S798" s="26"/>
      <c r="T798" s="29">
        <v>0</v>
      </c>
      <c r="U798" s="36">
        <v>0</v>
      </c>
      <c r="X798" s="26" t="s">
        <v>55</v>
      </c>
    </row>
    <row r="799" spans="1:24" x14ac:dyDescent="0.35">
      <c r="A799" s="26" t="s">
        <v>1753</v>
      </c>
      <c r="B799" s="32" t="s">
        <v>1754</v>
      </c>
      <c r="C799" s="26" t="s">
        <v>1754</v>
      </c>
      <c r="D799" s="26" t="s">
        <v>28</v>
      </c>
      <c r="E799" s="26" t="s">
        <v>1726</v>
      </c>
      <c r="F799" s="26" t="s">
        <v>1249</v>
      </c>
      <c r="G799" s="26" t="s">
        <v>1727</v>
      </c>
      <c r="J799" s="26" t="s">
        <v>31</v>
      </c>
      <c r="L799" s="26" t="s">
        <v>32</v>
      </c>
      <c r="N799" s="28">
        <v>45292</v>
      </c>
      <c r="O799" s="45">
        <v>45657</v>
      </c>
      <c r="P799" s="26">
        <v>52</v>
      </c>
      <c r="Q799" s="35" t="s">
        <v>49</v>
      </c>
      <c r="R799" s="29">
        <v>4000000</v>
      </c>
      <c r="S799" s="26"/>
      <c r="T799" s="29">
        <v>0</v>
      </c>
      <c r="U799" s="36">
        <v>0</v>
      </c>
      <c r="X799" s="26" t="s">
        <v>55</v>
      </c>
    </row>
    <row r="800" spans="1:24" x14ac:dyDescent="0.35">
      <c r="A800" s="26" t="s">
        <v>1755</v>
      </c>
      <c r="B800" s="32" t="s">
        <v>1756</v>
      </c>
      <c r="C800" s="26" t="s">
        <v>1756</v>
      </c>
      <c r="D800" s="26" t="s">
        <v>28</v>
      </c>
      <c r="E800" s="26" t="s">
        <v>1726</v>
      </c>
      <c r="F800" s="26" t="s">
        <v>1249</v>
      </c>
      <c r="G800" s="26" t="s">
        <v>1727</v>
      </c>
      <c r="J800" s="26" t="s">
        <v>31</v>
      </c>
      <c r="L800" s="26" t="s">
        <v>32</v>
      </c>
      <c r="N800" s="28">
        <v>45292</v>
      </c>
      <c r="O800" s="45">
        <v>45657</v>
      </c>
      <c r="P800" s="26">
        <v>52</v>
      </c>
      <c r="Q800" s="35" t="s">
        <v>49</v>
      </c>
      <c r="R800" s="29">
        <v>42503789</v>
      </c>
      <c r="S800" s="26"/>
      <c r="T800" s="29">
        <v>0</v>
      </c>
      <c r="U800" s="36">
        <v>0</v>
      </c>
      <c r="X800" s="26" t="s">
        <v>55</v>
      </c>
    </row>
    <row r="801" spans="1:24" x14ac:dyDescent="0.35">
      <c r="A801" s="26" t="s">
        <v>1757</v>
      </c>
      <c r="B801" s="32" t="s">
        <v>1758</v>
      </c>
      <c r="C801" s="26" t="s">
        <v>1758</v>
      </c>
      <c r="D801" s="26" t="s">
        <v>28</v>
      </c>
      <c r="E801" s="26" t="s">
        <v>1726</v>
      </c>
      <c r="F801" s="26" t="s">
        <v>1249</v>
      </c>
      <c r="G801" s="26" t="s">
        <v>1727</v>
      </c>
      <c r="J801" s="26" t="s">
        <v>31</v>
      </c>
      <c r="L801" s="26" t="s">
        <v>32</v>
      </c>
      <c r="N801" s="28">
        <v>45292</v>
      </c>
      <c r="O801" s="45">
        <v>45657</v>
      </c>
      <c r="P801" s="26">
        <v>52</v>
      </c>
      <c r="Q801" s="35" t="s">
        <v>49</v>
      </c>
      <c r="R801" s="29">
        <v>1000000</v>
      </c>
      <c r="S801" s="26"/>
      <c r="T801" s="29">
        <v>0</v>
      </c>
      <c r="U801" s="36">
        <v>0</v>
      </c>
      <c r="X801" s="26" t="s">
        <v>55</v>
      </c>
    </row>
    <row r="802" spans="1:24" x14ac:dyDescent="0.35">
      <c r="A802" s="26" t="s">
        <v>1422</v>
      </c>
      <c r="B802" s="32" t="s">
        <v>1423</v>
      </c>
      <c r="C802" s="26" t="s">
        <v>1423</v>
      </c>
      <c r="D802" s="26" t="s">
        <v>28</v>
      </c>
      <c r="E802" s="26" t="s">
        <v>1424</v>
      </c>
      <c r="F802" s="26" t="s">
        <v>1249</v>
      </c>
      <c r="G802" s="26" t="s">
        <v>162</v>
      </c>
      <c r="J802" s="26" t="s">
        <v>146</v>
      </c>
      <c r="L802" s="26" t="s">
        <v>164</v>
      </c>
      <c r="N802" s="28">
        <v>45292</v>
      </c>
      <c r="O802" s="45">
        <v>45657</v>
      </c>
      <c r="P802" s="26">
        <v>52</v>
      </c>
      <c r="Q802" s="35" t="s">
        <v>49</v>
      </c>
      <c r="R802" s="29">
        <v>800000</v>
      </c>
      <c r="S802" s="26"/>
      <c r="T802" s="29">
        <v>0</v>
      </c>
      <c r="U802" s="36">
        <v>0</v>
      </c>
      <c r="X802" s="26" t="s">
        <v>1425</v>
      </c>
    </row>
    <row r="803" spans="1:24" x14ac:dyDescent="0.35">
      <c r="A803" s="26" t="s">
        <v>1426</v>
      </c>
      <c r="B803" s="32" t="s">
        <v>1427</v>
      </c>
      <c r="C803" s="26" t="s">
        <v>1427</v>
      </c>
      <c r="D803" s="26" t="s">
        <v>28</v>
      </c>
      <c r="E803" s="26" t="s">
        <v>1424</v>
      </c>
      <c r="F803" s="26" t="s">
        <v>1249</v>
      </c>
      <c r="G803" s="26" t="s">
        <v>162</v>
      </c>
      <c r="J803" s="26" t="s">
        <v>146</v>
      </c>
      <c r="L803" s="26" t="s">
        <v>164</v>
      </c>
      <c r="N803" s="28">
        <v>45292</v>
      </c>
      <c r="O803" s="45">
        <v>45657</v>
      </c>
      <c r="P803" s="26">
        <v>52</v>
      </c>
      <c r="Q803" s="35" t="s">
        <v>49</v>
      </c>
      <c r="R803" s="29">
        <v>5000000</v>
      </c>
      <c r="S803" s="26"/>
      <c r="T803" s="29">
        <v>0</v>
      </c>
      <c r="U803" s="36">
        <v>0</v>
      </c>
      <c r="X803" s="26" t="s">
        <v>200</v>
      </c>
    </row>
    <row r="804" spans="1:24" x14ac:dyDescent="0.35">
      <c r="A804" s="26" t="s">
        <v>1431</v>
      </c>
      <c r="B804" s="32" t="s">
        <v>1432</v>
      </c>
      <c r="C804" s="26" t="s">
        <v>1432</v>
      </c>
      <c r="D804" s="26" t="s">
        <v>109</v>
      </c>
      <c r="E804" s="26" t="s">
        <v>1433</v>
      </c>
      <c r="F804" s="26" t="s">
        <v>1283</v>
      </c>
      <c r="G804" s="26" t="s">
        <v>162</v>
      </c>
      <c r="J804" s="26" t="s">
        <v>146</v>
      </c>
      <c r="L804" s="26" t="s">
        <v>164</v>
      </c>
      <c r="N804" s="28">
        <v>45292</v>
      </c>
      <c r="O804" s="45">
        <v>45657</v>
      </c>
      <c r="P804" s="26">
        <v>52</v>
      </c>
      <c r="Q804" s="35" t="s">
        <v>49</v>
      </c>
      <c r="R804" s="29">
        <v>1457321711</v>
      </c>
      <c r="S804" s="26"/>
      <c r="T804" s="29">
        <v>0</v>
      </c>
      <c r="U804" s="36">
        <v>0</v>
      </c>
      <c r="X804" s="26" t="s">
        <v>165</v>
      </c>
    </row>
    <row r="805" spans="1:24" x14ac:dyDescent="0.35">
      <c r="A805" s="26" t="s">
        <v>1434</v>
      </c>
      <c r="B805" s="32" t="s">
        <v>1435</v>
      </c>
      <c r="C805" s="26" t="s">
        <v>1435</v>
      </c>
      <c r="D805" s="26" t="s">
        <v>109</v>
      </c>
      <c r="E805" s="26" t="s">
        <v>1433</v>
      </c>
      <c r="F805" s="26" t="s">
        <v>1283</v>
      </c>
      <c r="G805" s="26" t="s">
        <v>162</v>
      </c>
      <c r="J805" s="26" t="s">
        <v>146</v>
      </c>
      <c r="L805" s="26" t="s">
        <v>164</v>
      </c>
      <c r="N805" s="28">
        <v>45292</v>
      </c>
      <c r="O805" s="45">
        <v>45657</v>
      </c>
      <c r="P805" s="26">
        <v>52</v>
      </c>
      <c r="Q805" s="35" t="s">
        <v>49</v>
      </c>
      <c r="R805" s="29">
        <v>350000000</v>
      </c>
      <c r="S805" s="26"/>
      <c r="T805" s="29">
        <v>0</v>
      </c>
      <c r="U805" s="36">
        <v>0</v>
      </c>
      <c r="X805" s="26" t="s">
        <v>165</v>
      </c>
    </row>
    <row r="806" spans="1:24" x14ac:dyDescent="0.35">
      <c r="A806" s="26" t="s">
        <v>1436</v>
      </c>
      <c r="B806" s="32" t="s">
        <v>1437</v>
      </c>
      <c r="C806" s="26" t="s">
        <v>1437</v>
      </c>
      <c r="D806" s="26" t="s">
        <v>109</v>
      </c>
      <c r="E806" s="26" t="s">
        <v>1433</v>
      </c>
      <c r="F806" s="26" t="s">
        <v>1283</v>
      </c>
      <c r="G806" s="26" t="s">
        <v>162</v>
      </c>
      <c r="J806" s="26" t="s">
        <v>146</v>
      </c>
      <c r="L806" s="26" t="s">
        <v>164</v>
      </c>
      <c r="N806" s="28">
        <v>45292</v>
      </c>
      <c r="O806" s="45">
        <v>45657</v>
      </c>
      <c r="P806" s="26">
        <v>52</v>
      </c>
      <c r="Q806" s="35" t="s">
        <v>49</v>
      </c>
      <c r="R806" s="29">
        <v>200000000</v>
      </c>
      <c r="S806" s="26"/>
      <c r="T806" s="29">
        <v>0</v>
      </c>
      <c r="U806" s="36">
        <v>0</v>
      </c>
      <c r="X806" s="26" t="s">
        <v>1306</v>
      </c>
    </row>
    <row r="807" spans="1:24" x14ac:dyDescent="0.35">
      <c r="A807" s="26" t="s">
        <v>1438</v>
      </c>
      <c r="B807" s="32" t="s">
        <v>1439</v>
      </c>
      <c r="C807" s="26" t="s">
        <v>1439</v>
      </c>
      <c r="D807" s="26" t="s">
        <v>109</v>
      </c>
      <c r="E807" s="26" t="s">
        <v>1433</v>
      </c>
      <c r="F807" s="26" t="s">
        <v>1283</v>
      </c>
      <c r="G807" s="26" t="s">
        <v>162</v>
      </c>
      <c r="J807" s="26" t="s">
        <v>146</v>
      </c>
      <c r="L807" s="26" t="s">
        <v>164</v>
      </c>
      <c r="N807" s="28">
        <v>45292</v>
      </c>
      <c r="O807" s="45">
        <v>45657</v>
      </c>
      <c r="P807" s="26">
        <v>52</v>
      </c>
      <c r="Q807" s="35" t="s">
        <v>49</v>
      </c>
      <c r="R807" s="29">
        <v>50000000</v>
      </c>
      <c r="S807" s="26"/>
      <c r="T807" s="29">
        <v>0</v>
      </c>
      <c r="U807" s="36">
        <v>0</v>
      </c>
      <c r="X807" s="26" t="s">
        <v>165</v>
      </c>
    </row>
    <row r="808" spans="1:24" x14ac:dyDescent="0.35">
      <c r="A808" s="26" t="s">
        <v>1440</v>
      </c>
      <c r="B808" s="32" t="s">
        <v>1441</v>
      </c>
      <c r="C808" t="s">
        <v>1441</v>
      </c>
      <c r="D808" s="26" t="s">
        <v>109</v>
      </c>
      <c r="E808" s="26" t="s">
        <v>1433</v>
      </c>
      <c r="F808" s="26" t="s">
        <v>1283</v>
      </c>
      <c r="G808" s="26" t="s">
        <v>162</v>
      </c>
      <c r="J808" s="26" t="s">
        <v>146</v>
      </c>
      <c r="L808" s="26" t="s">
        <v>164</v>
      </c>
      <c r="N808" s="28">
        <v>45292</v>
      </c>
      <c r="O808" s="45">
        <v>45657</v>
      </c>
      <c r="P808" s="26">
        <v>52</v>
      </c>
      <c r="Q808" s="35" t="s">
        <v>49</v>
      </c>
      <c r="R808" s="29">
        <v>50000000</v>
      </c>
      <c r="S808" s="26"/>
      <c r="T808" s="50">
        <v>0</v>
      </c>
      <c r="U808" s="36">
        <v>0</v>
      </c>
      <c r="X808" s="26" t="s">
        <v>1442</v>
      </c>
    </row>
    <row r="809" spans="1:24" x14ac:dyDescent="0.35">
      <c r="A809" s="26" t="s">
        <v>1443</v>
      </c>
      <c r="B809" s="32" t="s">
        <v>1444</v>
      </c>
      <c r="C809" t="s">
        <v>1444</v>
      </c>
      <c r="D809" s="26" t="s">
        <v>109</v>
      </c>
      <c r="E809" s="26" t="s">
        <v>1433</v>
      </c>
      <c r="F809" s="26" t="s">
        <v>1283</v>
      </c>
      <c r="G809" s="26" t="s">
        <v>162</v>
      </c>
      <c r="J809" s="26" t="s">
        <v>146</v>
      </c>
      <c r="L809" s="26" t="s">
        <v>164</v>
      </c>
      <c r="N809" s="28">
        <v>45292</v>
      </c>
      <c r="O809" s="45">
        <v>45657</v>
      </c>
      <c r="P809" s="26">
        <v>52</v>
      </c>
      <c r="Q809" s="35" t="s">
        <v>49</v>
      </c>
      <c r="R809" s="29">
        <v>100000000</v>
      </c>
      <c r="S809" s="26"/>
      <c r="T809" s="50">
        <v>0</v>
      </c>
      <c r="U809" s="36">
        <v>0</v>
      </c>
      <c r="X809" s="26" t="s">
        <v>1306</v>
      </c>
    </row>
    <row r="810" spans="1:24" x14ac:dyDescent="0.35">
      <c r="A810" s="26" t="s">
        <v>1445</v>
      </c>
      <c r="B810" s="32" t="s">
        <v>1446</v>
      </c>
      <c r="C810" t="s">
        <v>1446</v>
      </c>
      <c r="D810" s="26" t="s">
        <v>109</v>
      </c>
      <c r="E810" s="26" t="s">
        <v>1433</v>
      </c>
      <c r="F810" s="26" t="s">
        <v>1283</v>
      </c>
      <c r="G810" s="26" t="s">
        <v>162</v>
      </c>
      <c r="J810" s="26" t="s">
        <v>146</v>
      </c>
      <c r="L810" s="26" t="s">
        <v>40</v>
      </c>
      <c r="N810" s="28">
        <v>45292</v>
      </c>
      <c r="O810" s="45">
        <v>45657</v>
      </c>
      <c r="P810" s="26">
        <v>52</v>
      </c>
      <c r="Q810" s="35" t="s">
        <v>49</v>
      </c>
      <c r="R810" s="29">
        <v>20000000</v>
      </c>
      <c r="S810" s="26"/>
      <c r="T810" s="50">
        <v>0</v>
      </c>
      <c r="U810" s="36">
        <v>0</v>
      </c>
      <c r="X810" s="26" t="s">
        <v>195</v>
      </c>
    </row>
    <row r="811" spans="1:24" x14ac:dyDescent="0.35">
      <c r="A811" s="26" t="s">
        <v>1447</v>
      </c>
      <c r="B811" s="32" t="s">
        <v>1448</v>
      </c>
      <c r="C811" t="s">
        <v>1448</v>
      </c>
      <c r="D811" s="26" t="s">
        <v>109</v>
      </c>
      <c r="E811" s="26" t="s">
        <v>1433</v>
      </c>
      <c r="F811" s="26" t="s">
        <v>1283</v>
      </c>
      <c r="G811" s="26" t="s">
        <v>162</v>
      </c>
      <c r="J811" s="26" t="s">
        <v>146</v>
      </c>
      <c r="L811" s="26" t="s">
        <v>164</v>
      </c>
      <c r="N811" s="28">
        <v>45292</v>
      </c>
      <c r="O811" s="45">
        <v>45657</v>
      </c>
      <c r="P811" s="26">
        <v>52</v>
      </c>
      <c r="Q811" s="35" t="s">
        <v>49</v>
      </c>
      <c r="R811" s="29">
        <v>10000000</v>
      </c>
      <c r="S811" s="26"/>
      <c r="T811" s="50">
        <v>0</v>
      </c>
      <c r="U811" s="36">
        <v>0</v>
      </c>
      <c r="X811" s="26" t="s">
        <v>687</v>
      </c>
    </row>
    <row r="812" spans="1:24" x14ac:dyDescent="0.35">
      <c r="A812" s="26" t="s">
        <v>1449</v>
      </c>
      <c r="B812" s="32" t="s">
        <v>1450</v>
      </c>
      <c r="C812" t="s">
        <v>1450</v>
      </c>
      <c r="D812" s="26" t="s">
        <v>109</v>
      </c>
      <c r="E812" s="26" t="s">
        <v>1433</v>
      </c>
      <c r="F812" s="26" t="s">
        <v>1283</v>
      </c>
      <c r="G812" s="26" t="s">
        <v>162</v>
      </c>
      <c r="J812" s="26" t="s">
        <v>146</v>
      </c>
      <c r="L812" s="26" t="s">
        <v>164</v>
      </c>
      <c r="N812" s="28">
        <v>45292</v>
      </c>
      <c r="O812" s="45">
        <v>45657</v>
      </c>
      <c r="P812" s="26">
        <v>52</v>
      </c>
      <c r="Q812" s="35" t="s">
        <v>49</v>
      </c>
      <c r="R812" s="29">
        <v>8000000</v>
      </c>
      <c r="S812" s="26"/>
      <c r="T812" s="50">
        <v>0</v>
      </c>
      <c r="U812" s="36">
        <v>0</v>
      </c>
      <c r="X812" s="26" t="s">
        <v>168</v>
      </c>
    </row>
    <row r="813" spans="1:24" x14ac:dyDescent="0.35">
      <c r="A813" s="26" t="s">
        <v>1451</v>
      </c>
      <c r="B813" s="32" t="s">
        <v>1452</v>
      </c>
      <c r="C813" t="s">
        <v>1452</v>
      </c>
      <c r="D813" s="26" t="s">
        <v>109</v>
      </c>
      <c r="E813" s="26" t="s">
        <v>1433</v>
      </c>
      <c r="F813" s="26" t="s">
        <v>1283</v>
      </c>
      <c r="G813" s="26" t="s">
        <v>162</v>
      </c>
      <c r="J813" s="26" t="s">
        <v>146</v>
      </c>
      <c r="L813" s="26" t="s">
        <v>164</v>
      </c>
      <c r="N813" s="28">
        <v>45292</v>
      </c>
      <c r="O813" s="45">
        <v>45657</v>
      </c>
      <c r="P813" s="26">
        <v>52</v>
      </c>
      <c r="Q813" s="35" t="s">
        <v>49</v>
      </c>
      <c r="R813" s="29">
        <v>6000000</v>
      </c>
      <c r="S813" s="26"/>
      <c r="T813" s="50">
        <v>0</v>
      </c>
      <c r="U813" s="36">
        <v>0</v>
      </c>
      <c r="X813" s="26" t="s">
        <v>1442</v>
      </c>
    </row>
    <row r="814" spans="1:24" x14ac:dyDescent="0.35">
      <c r="A814" s="26" t="s">
        <v>1453</v>
      </c>
      <c r="B814" s="32" t="s">
        <v>1454</v>
      </c>
      <c r="C814" s="26" t="s">
        <v>1454</v>
      </c>
      <c r="D814" s="26" t="s">
        <v>109</v>
      </c>
      <c r="E814" s="26" t="s">
        <v>1433</v>
      </c>
      <c r="F814" s="26" t="s">
        <v>1283</v>
      </c>
      <c r="G814" s="26" t="s">
        <v>162</v>
      </c>
      <c r="J814" s="26" t="s">
        <v>146</v>
      </c>
      <c r="L814" s="26" t="s">
        <v>164</v>
      </c>
      <c r="N814" s="28">
        <v>45292</v>
      </c>
      <c r="O814" s="45">
        <v>45657</v>
      </c>
      <c r="P814" s="26">
        <v>52</v>
      </c>
      <c r="Q814" s="35" t="s">
        <v>49</v>
      </c>
      <c r="R814" s="29">
        <v>6000000</v>
      </c>
      <c r="S814" s="26"/>
      <c r="T814" s="29">
        <v>0</v>
      </c>
      <c r="U814" s="36">
        <v>0</v>
      </c>
      <c r="X814" s="26" t="s">
        <v>1442</v>
      </c>
    </row>
    <row r="815" spans="1:24" x14ac:dyDescent="0.35">
      <c r="A815" s="26" t="s">
        <v>1455</v>
      </c>
      <c r="B815" s="32" t="s">
        <v>1456</v>
      </c>
      <c r="C815" s="26" t="s">
        <v>1456</v>
      </c>
      <c r="D815" s="26" t="s">
        <v>109</v>
      </c>
      <c r="E815" s="26" t="s">
        <v>1433</v>
      </c>
      <c r="F815" s="26" t="s">
        <v>1283</v>
      </c>
      <c r="G815" s="26" t="s">
        <v>162</v>
      </c>
      <c r="J815" s="26" t="s">
        <v>146</v>
      </c>
      <c r="L815" s="26" t="s">
        <v>164</v>
      </c>
      <c r="N815" s="28">
        <v>45292</v>
      </c>
      <c r="O815" s="45">
        <v>45657</v>
      </c>
      <c r="P815" s="26">
        <v>52</v>
      </c>
      <c r="Q815" s="35" t="s">
        <v>49</v>
      </c>
      <c r="R815" s="29">
        <v>30000000</v>
      </c>
      <c r="S815" s="26"/>
      <c r="T815" s="29">
        <v>0</v>
      </c>
      <c r="U815" s="36">
        <v>0</v>
      </c>
      <c r="X815" s="26" t="s">
        <v>1457</v>
      </c>
    </row>
    <row r="816" spans="1:24" x14ac:dyDescent="0.35">
      <c r="A816" s="26" t="s">
        <v>1458</v>
      </c>
      <c r="B816" s="32" t="s">
        <v>1459</v>
      </c>
      <c r="C816" s="26" t="s">
        <v>1459</v>
      </c>
      <c r="D816" s="26" t="s">
        <v>109</v>
      </c>
      <c r="E816" s="26" t="s">
        <v>1433</v>
      </c>
      <c r="F816" s="26" t="s">
        <v>1283</v>
      </c>
      <c r="G816" s="26" t="s">
        <v>162</v>
      </c>
      <c r="J816" s="26" t="s">
        <v>146</v>
      </c>
      <c r="L816" s="26" t="s">
        <v>32</v>
      </c>
      <c r="N816" s="28">
        <v>45292</v>
      </c>
      <c r="O816" s="45">
        <v>45657</v>
      </c>
      <c r="P816" s="26">
        <v>52</v>
      </c>
      <c r="Q816" s="35" t="s">
        <v>49</v>
      </c>
      <c r="R816" s="29">
        <v>20000000</v>
      </c>
      <c r="S816" s="26"/>
      <c r="T816" s="29">
        <v>0</v>
      </c>
      <c r="U816" s="36">
        <v>0</v>
      </c>
      <c r="X816" s="26" t="s">
        <v>67</v>
      </c>
    </row>
    <row r="817" spans="1:24" x14ac:dyDescent="0.35">
      <c r="A817" s="26" t="s">
        <v>1460</v>
      </c>
      <c r="B817" s="32" t="s">
        <v>1461</v>
      </c>
      <c r="C817" s="26" t="s">
        <v>1461</v>
      </c>
      <c r="D817" s="26" t="s">
        <v>109</v>
      </c>
      <c r="E817" s="26" t="s">
        <v>1433</v>
      </c>
      <c r="F817" s="26" t="s">
        <v>1283</v>
      </c>
      <c r="G817" s="26" t="s">
        <v>162</v>
      </c>
      <c r="J817" s="26" t="s">
        <v>146</v>
      </c>
      <c r="L817" s="26" t="s">
        <v>164</v>
      </c>
      <c r="N817" s="28">
        <v>45292</v>
      </c>
      <c r="O817" s="45">
        <v>45657</v>
      </c>
      <c r="P817" s="26">
        <v>52</v>
      </c>
      <c r="Q817" s="35" t="s">
        <v>49</v>
      </c>
      <c r="R817" s="29">
        <v>100000000</v>
      </c>
      <c r="S817" s="26"/>
      <c r="T817" s="29">
        <v>0</v>
      </c>
      <c r="U817" s="36">
        <v>0</v>
      </c>
      <c r="X817" s="26" t="s">
        <v>1462</v>
      </c>
    </row>
    <row r="818" spans="1:24" x14ac:dyDescent="0.35">
      <c r="A818" s="26" t="s">
        <v>1402</v>
      </c>
      <c r="B818" s="32" t="s">
        <v>1403</v>
      </c>
      <c r="C818" s="26" t="s">
        <v>1403</v>
      </c>
      <c r="D818" s="26" t="s">
        <v>28</v>
      </c>
      <c r="E818" s="26" t="s">
        <v>1404</v>
      </c>
      <c r="F818" s="26" t="s">
        <v>1249</v>
      </c>
      <c r="G818" s="26" t="s">
        <v>315</v>
      </c>
      <c r="J818" s="26" t="s">
        <v>31</v>
      </c>
      <c r="L818" s="26" t="s">
        <v>32</v>
      </c>
      <c r="N818" s="28">
        <v>45292</v>
      </c>
      <c r="O818" s="45">
        <v>45657</v>
      </c>
      <c r="P818" s="26">
        <v>52</v>
      </c>
      <c r="Q818" s="35" t="s">
        <v>49</v>
      </c>
      <c r="R818" s="29">
        <v>275000000</v>
      </c>
      <c r="S818" s="26"/>
      <c r="T818" s="29">
        <v>0</v>
      </c>
      <c r="U818" s="36">
        <v>0</v>
      </c>
      <c r="X818" s="26" t="s">
        <v>126</v>
      </c>
    </row>
    <row r="819" spans="1:24" x14ac:dyDescent="0.35">
      <c r="A819" s="26" t="s">
        <v>1405</v>
      </c>
      <c r="B819" s="32" t="s">
        <v>1406</v>
      </c>
      <c r="C819" s="26" t="s">
        <v>1406</v>
      </c>
      <c r="D819" s="26" t="s">
        <v>28</v>
      </c>
      <c r="E819" s="26" t="s">
        <v>1404</v>
      </c>
      <c r="F819" s="26" t="s">
        <v>1249</v>
      </c>
      <c r="G819" s="26" t="s">
        <v>315</v>
      </c>
      <c r="J819" s="26" t="s">
        <v>90</v>
      </c>
      <c r="L819" s="26" t="s">
        <v>91</v>
      </c>
      <c r="N819" s="28">
        <v>45292</v>
      </c>
      <c r="O819" s="45">
        <v>45657</v>
      </c>
      <c r="P819" s="26">
        <v>52</v>
      </c>
      <c r="Q819" s="35" t="s">
        <v>49</v>
      </c>
      <c r="R819" s="29">
        <v>531381101</v>
      </c>
      <c r="S819" s="26"/>
      <c r="T819" s="29">
        <v>0</v>
      </c>
      <c r="U819" s="36">
        <v>0</v>
      </c>
      <c r="X819" s="26" t="s">
        <v>126</v>
      </c>
    </row>
    <row r="820" spans="1:24" x14ac:dyDescent="0.35">
      <c r="A820" s="26" t="s">
        <v>1412</v>
      </c>
      <c r="B820" s="32" t="s">
        <v>1413</v>
      </c>
      <c r="C820" s="26" t="s">
        <v>1413</v>
      </c>
      <c r="D820" s="26" t="s">
        <v>28</v>
      </c>
      <c r="E820" s="26" t="s">
        <v>1414</v>
      </c>
      <c r="F820" s="26" t="s">
        <v>1249</v>
      </c>
      <c r="G820" s="26" t="s">
        <v>1415</v>
      </c>
      <c r="J820" s="26" t="s">
        <v>194</v>
      </c>
      <c r="L820" s="26" t="s">
        <v>32</v>
      </c>
      <c r="N820" s="28">
        <v>45292</v>
      </c>
      <c r="O820" s="45">
        <v>45657</v>
      </c>
      <c r="P820" s="26">
        <v>52</v>
      </c>
      <c r="Q820" s="35" t="s">
        <v>49</v>
      </c>
      <c r="R820" s="29">
        <v>110516750</v>
      </c>
      <c r="S820" s="26"/>
      <c r="T820" s="29">
        <v>0</v>
      </c>
      <c r="U820" s="36">
        <v>0</v>
      </c>
      <c r="X820" s="26" t="s">
        <v>126</v>
      </c>
    </row>
    <row r="821" spans="1:24" x14ac:dyDescent="0.35">
      <c r="A821" s="26" t="s">
        <v>1416</v>
      </c>
      <c r="B821" s="32" t="s">
        <v>1417</v>
      </c>
      <c r="C821" s="26" t="s">
        <v>1417</v>
      </c>
      <c r="D821" s="26" t="s">
        <v>28</v>
      </c>
      <c r="E821" s="26" t="s">
        <v>1414</v>
      </c>
      <c r="F821" s="26" t="s">
        <v>1249</v>
      </c>
      <c r="G821" s="26" t="s">
        <v>1415</v>
      </c>
      <c r="J821" s="26" t="s">
        <v>194</v>
      </c>
      <c r="L821" s="26" t="s">
        <v>32</v>
      </c>
      <c r="N821" s="28">
        <v>45292</v>
      </c>
      <c r="O821" s="45">
        <v>45657</v>
      </c>
      <c r="P821" s="26">
        <v>52</v>
      </c>
      <c r="Q821" s="35" t="s">
        <v>49</v>
      </c>
      <c r="R821" s="29">
        <v>1478584608</v>
      </c>
      <c r="S821" s="26"/>
      <c r="T821" s="29">
        <v>0</v>
      </c>
      <c r="U821" s="36">
        <v>0</v>
      </c>
      <c r="X821" s="26" t="s">
        <v>126</v>
      </c>
    </row>
    <row r="822" spans="1:24" x14ac:dyDescent="0.35">
      <c r="A822" s="26" t="s">
        <v>1620</v>
      </c>
      <c r="B822" s="32" t="s">
        <v>1621</v>
      </c>
      <c r="C822" s="26" t="s">
        <v>1621</v>
      </c>
      <c r="D822" s="26" t="s">
        <v>117</v>
      </c>
      <c r="E822" s="26" t="s">
        <v>1601</v>
      </c>
      <c r="F822" s="26" t="s">
        <v>1249</v>
      </c>
      <c r="G822" s="26" t="s">
        <v>315</v>
      </c>
      <c r="J822" s="26" t="s">
        <v>90</v>
      </c>
      <c r="L822" s="26" t="s">
        <v>91</v>
      </c>
      <c r="N822" s="28">
        <v>45292</v>
      </c>
      <c r="O822" s="45">
        <v>45657</v>
      </c>
      <c r="P822" s="26">
        <v>52</v>
      </c>
      <c r="Q822" s="35" t="s">
        <v>49</v>
      </c>
      <c r="R822" s="29">
        <v>104500000</v>
      </c>
      <c r="S822" s="26"/>
      <c r="T822" s="29">
        <v>0</v>
      </c>
      <c r="U822" s="36">
        <v>0</v>
      </c>
      <c r="X822" s="26" t="s">
        <v>318</v>
      </c>
    </row>
    <row r="823" spans="1:24" x14ac:dyDescent="0.35">
      <c r="A823" s="26" t="s">
        <v>1399</v>
      </c>
      <c r="B823" s="32" t="s">
        <v>1400</v>
      </c>
      <c r="C823" s="26" t="s">
        <v>1400</v>
      </c>
      <c r="D823" s="26" t="s">
        <v>28</v>
      </c>
      <c r="E823" s="26" t="s">
        <v>1401</v>
      </c>
      <c r="F823" s="26" t="s">
        <v>1249</v>
      </c>
      <c r="G823" s="26" t="s">
        <v>1262</v>
      </c>
      <c r="J823" s="26" t="s">
        <v>426</v>
      </c>
      <c r="L823" s="26" t="s">
        <v>199</v>
      </c>
      <c r="N823" s="28">
        <v>45292</v>
      </c>
      <c r="O823" s="45">
        <v>45657</v>
      </c>
      <c r="P823" s="26">
        <v>52</v>
      </c>
      <c r="Q823" s="35" t="s">
        <v>49</v>
      </c>
      <c r="R823" s="29">
        <v>55000000</v>
      </c>
      <c r="S823" s="26"/>
      <c r="T823" s="29">
        <v>0</v>
      </c>
      <c r="U823" s="36">
        <v>0</v>
      </c>
      <c r="X823" s="26" t="s">
        <v>126</v>
      </c>
    </row>
    <row r="824" spans="1:24" x14ac:dyDescent="0.35">
      <c r="A824" s="26" t="s">
        <v>1380</v>
      </c>
      <c r="B824" s="32" t="s">
        <v>1381</v>
      </c>
      <c r="C824" s="26" t="s">
        <v>1381</v>
      </c>
      <c r="D824" s="26" t="s">
        <v>28</v>
      </c>
      <c r="E824" s="26" t="s">
        <v>1382</v>
      </c>
      <c r="F824" s="26" t="s">
        <v>1249</v>
      </c>
      <c r="G824" s="26" t="s">
        <v>1383</v>
      </c>
      <c r="J824" s="26" t="s">
        <v>31</v>
      </c>
      <c r="L824" s="26" t="s">
        <v>32</v>
      </c>
      <c r="N824" s="28">
        <v>45292</v>
      </c>
      <c r="O824" s="45">
        <v>45657</v>
      </c>
      <c r="P824" s="26">
        <v>52</v>
      </c>
      <c r="Q824" s="35" t="s">
        <v>49</v>
      </c>
      <c r="R824" s="29">
        <v>30000000</v>
      </c>
      <c r="S824" s="26"/>
      <c r="T824" s="29">
        <v>0</v>
      </c>
      <c r="U824" s="36">
        <v>0</v>
      </c>
      <c r="X824" s="26" t="s">
        <v>355</v>
      </c>
    </row>
    <row r="825" spans="1:24" x14ac:dyDescent="0.35">
      <c r="A825" s="26" t="s">
        <v>1384</v>
      </c>
      <c r="B825" s="32" t="s">
        <v>1385</v>
      </c>
      <c r="C825" s="26" t="s">
        <v>1385</v>
      </c>
      <c r="D825" s="26" t="s">
        <v>28</v>
      </c>
      <c r="E825" s="26" t="s">
        <v>1382</v>
      </c>
      <c r="F825" s="26" t="s">
        <v>1249</v>
      </c>
      <c r="G825" s="26" t="s">
        <v>1383</v>
      </c>
      <c r="J825" s="26" t="s">
        <v>426</v>
      </c>
      <c r="L825" s="26" t="s">
        <v>199</v>
      </c>
      <c r="N825" s="28">
        <v>45292</v>
      </c>
      <c r="O825" s="45">
        <v>45657</v>
      </c>
      <c r="P825" s="26">
        <v>52</v>
      </c>
      <c r="Q825" s="35" t="s">
        <v>49</v>
      </c>
      <c r="R825" s="29">
        <v>25000000</v>
      </c>
      <c r="S825" s="26"/>
      <c r="T825" s="29">
        <v>0</v>
      </c>
      <c r="U825" s="36">
        <v>0</v>
      </c>
      <c r="X825" s="26" t="s">
        <v>355</v>
      </c>
    </row>
    <row r="826" spans="1:24" x14ac:dyDescent="0.35">
      <c r="A826" s="26" t="s">
        <v>1386</v>
      </c>
      <c r="B826" s="32" t="s">
        <v>1387</v>
      </c>
      <c r="C826" s="26" t="s">
        <v>1387</v>
      </c>
      <c r="D826" s="26" t="s">
        <v>28</v>
      </c>
      <c r="E826" s="26" t="s">
        <v>1382</v>
      </c>
      <c r="F826" s="26" t="s">
        <v>1249</v>
      </c>
      <c r="G826" s="26" t="s">
        <v>1383</v>
      </c>
      <c r="J826" s="26" t="s">
        <v>426</v>
      </c>
      <c r="L826" s="26" t="s">
        <v>199</v>
      </c>
      <c r="N826" s="28">
        <v>45292</v>
      </c>
      <c r="O826" s="45">
        <v>45657</v>
      </c>
      <c r="P826" s="26">
        <v>52</v>
      </c>
      <c r="Q826" s="35" t="s">
        <v>49</v>
      </c>
      <c r="R826" s="29">
        <v>35000000</v>
      </c>
      <c r="S826" s="26"/>
      <c r="T826" s="29">
        <v>0</v>
      </c>
      <c r="U826" s="36">
        <v>0</v>
      </c>
      <c r="X826" s="26" t="s">
        <v>355</v>
      </c>
    </row>
    <row r="827" spans="1:24" x14ac:dyDescent="0.35">
      <c r="A827" s="26" t="s">
        <v>1388</v>
      </c>
      <c r="B827" s="32" t="s">
        <v>1389</v>
      </c>
      <c r="C827" s="26" t="s">
        <v>1389</v>
      </c>
      <c r="D827" s="26" t="s">
        <v>28</v>
      </c>
      <c r="E827" s="26" t="s">
        <v>1382</v>
      </c>
      <c r="F827" s="26" t="s">
        <v>1249</v>
      </c>
      <c r="G827" s="26" t="s">
        <v>1383</v>
      </c>
      <c r="J827" s="26" t="s">
        <v>426</v>
      </c>
      <c r="L827" s="26" t="s">
        <v>199</v>
      </c>
      <c r="N827" s="28">
        <v>45292</v>
      </c>
      <c r="O827" s="45">
        <v>45657</v>
      </c>
      <c r="P827" s="26">
        <v>52</v>
      </c>
      <c r="Q827" s="35" t="s">
        <v>49</v>
      </c>
      <c r="R827" s="29">
        <v>25000000</v>
      </c>
      <c r="S827" s="26"/>
      <c r="T827" s="29">
        <v>0</v>
      </c>
      <c r="U827" s="36">
        <v>0</v>
      </c>
      <c r="X827" s="26" t="s">
        <v>355</v>
      </c>
    </row>
    <row r="828" spans="1:24" x14ac:dyDescent="0.35">
      <c r="A828" s="26" t="s">
        <v>1390</v>
      </c>
      <c r="B828" s="32" t="s">
        <v>1391</v>
      </c>
      <c r="C828" s="26" t="s">
        <v>1391</v>
      </c>
      <c r="D828" s="26" t="s">
        <v>39</v>
      </c>
      <c r="E828" s="26" t="s">
        <v>1382</v>
      </c>
      <c r="F828" s="26" t="s">
        <v>1249</v>
      </c>
      <c r="G828" s="26" t="s">
        <v>1383</v>
      </c>
      <c r="J828" s="26" t="s">
        <v>426</v>
      </c>
      <c r="L828" s="26" t="s">
        <v>199</v>
      </c>
      <c r="N828" s="28">
        <v>45292</v>
      </c>
      <c r="O828" s="45">
        <v>45657</v>
      </c>
      <c r="P828" s="26">
        <v>52</v>
      </c>
      <c r="Q828" s="35" t="s">
        <v>49</v>
      </c>
      <c r="R828" s="29">
        <v>20000000</v>
      </c>
      <c r="S828" s="26"/>
      <c r="T828" s="29">
        <v>0</v>
      </c>
      <c r="U828" s="36">
        <v>0</v>
      </c>
      <c r="X828" s="26" t="s">
        <v>355</v>
      </c>
    </row>
    <row r="829" spans="1:24" x14ac:dyDescent="0.35">
      <c r="A829" s="26" t="s">
        <v>1392</v>
      </c>
      <c r="B829" s="32" t="s">
        <v>1393</v>
      </c>
      <c r="C829" s="26" t="s">
        <v>1393</v>
      </c>
      <c r="D829" s="26" t="s">
        <v>28</v>
      </c>
      <c r="E829" s="26" t="s">
        <v>1382</v>
      </c>
      <c r="F829" s="26" t="s">
        <v>1249</v>
      </c>
      <c r="G829" s="26" t="s">
        <v>1383</v>
      </c>
      <c r="J829" s="26" t="s">
        <v>426</v>
      </c>
      <c r="L829" s="26" t="s">
        <v>1394</v>
      </c>
      <c r="N829" s="28">
        <v>45292</v>
      </c>
      <c r="O829" s="45">
        <v>45657</v>
      </c>
      <c r="P829" s="26">
        <v>52</v>
      </c>
      <c r="Q829" s="35" t="s">
        <v>49</v>
      </c>
      <c r="R829" s="29">
        <v>9807826.3399999999</v>
      </c>
      <c r="S829" s="26"/>
      <c r="T829" s="29">
        <v>0</v>
      </c>
      <c r="U829" s="36">
        <v>0</v>
      </c>
      <c r="X829" s="26" t="s">
        <v>355</v>
      </c>
    </row>
    <row r="830" spans="1:24" x14ac:dyDescent="0.35">
      <c r="A830" s="26" t="s">
        <v>1395</v>
      </c>
      <c r="B830" s="32" t="s">
        <v>1396</v>
      </c>
      <c r="C830" s="26" t="s">
        <v>1396</v>
      </c>
      <c r="D830" s="26" t="s">
        <v>28</v>
      </c>
      <c r="E830" s="26" t="s">
        <v>1382</v>
      </c>
      <c r="F830" s="26" t="s">
        <v>1249</v>
      </c>
      <c r="G830" s="26" t="s">
        <v>1383</v>
      </c>
      <c r="J830" s="26" t="s">
        <v>426</v>
      </c>
      <c r="L830" s="26" t="s">
        <v>1394</v>
      </c>
      <c r="N830" s="28">
        <v>45292</v>
      </c>
      <c r="O830" s="45">
        <v>45657</v>
      </c>
      <c r="P830" s="26">
        <v>52</v>
      </c>
      <c r="Q830" s="35" t="s">
        <v>49</v>
      </c>
      <c r="R830" s="29">
        <v>10000000</v>
      </c>
      <c r="S830" s="26"/>
      <c r="T830" s="29">
        <v>0</v>
      </c>
      <c r="U830" s="36">
        <v>0</v>
      </c>
      <c r="X830" s="26" t="s">
        <v>355</v>
      </c>
    </row>
    <row r="831" spans="1:24" x14ac:dyDescent="0.35">
      <c r="A831" s="26" t="s">
        <v>1397</v>
      </c>
      <c r="B831" s="32" t="s">
        <v>1398</v>
      </c>
      <c r="C831" s="26" t="s">
        <v>1398</v>
      </c>
      <c r="D831" s="26" t="s">
        <v>28</v>
      </c>
      <c r="E831" s="26" t="s">
        <v>1382</v>
      </c>
      <c r="F831" s="26" t="s">
        <v>1249</v>
      </c>
      <c r="G831" s="26" t="s">
        <v>1383</v>
      </c>
      <c r="J831" s="26" t="s">
        <v>426</v>
      </c>
      <c r="L831" s="26" t="s">
        <v>199</v>
      </c>
      <c r="N831" s="28">
        <v>45292</v>
      </c>
      <c r="O831" s="45">
        <v>45657</v>
      </c>
      <c r="P831" s="26">
        <v>52</v>
      </c>
      <c r="Q831" s="35" t="s">
        <v>49</v>
      </c>
      <c r="R831" s="29">
        <v>10000000</v>
      </c>
      <c r="S831" s="26"/>
      <c r="T831" s="29">
        <v>0</v>
      </c>
      <c r="U831" s="36">
        <v>0</v>
      </c>
      <c r="X831" s="26" t="s">
        <v>355</v>
      </c>
    </row>
    <row r="832" spans="1:24" x14ac:dyDescent="0.35">
      <c r="A832" s="26" t="s">
        <v>1418</v>
      </c>
      <c r="B832" s="32" t="s">
        <v>1419</v>
      </c>
      <c r="C832" s="26" t="s">
        <v>1419</v>
      </c>
      <c r="D832" s="26" t="s">
        <v>28</v>
      </c>
      <c r="E832" s="26" t="s">
        <v>1420</v>
      </c>
      <c r="F832" s="26" t="s">
        <v>1249</v>
      </c>
      <c r="G832" s="26" t="s">
        <v>1421</v>
      </c>
      <c r="J832" s="26" t="s">
        <v>31</v>
      </c>
      <c r="L832" s="26" t="s">
        <v>32</v>
      </c>
      <c r="N832" s="28">
        <v>45292</v>
      </c>
      <c r="O832" s="45">
        <v>45657</v>
      </c>
      <c r="P832" s="26">
        <v>52</v>
      </c>
      <c r="Q832" s="35" t="s">
        <v>49</v>
      </c>
      <c r="R832" s="29">
        <v>50000000</v>
      </c>
      <c r="S832" s="26"/>
      <c r="T832" s="29">
        <v>0</v>
      </c>
      <c r="U832" s="36">
        <v>0</v>
      </c>
      <c r="X832" s="26" t="s">
        <v>126</v>
      </c>
    </row>
    <row r="833" spans="1:24" x14ac:dyDescent="0.35">
      <c r="A833" s="26" t="s">
        <v>1472</v>
      </c>
      <c r="B833" s="32" t="s">
        <v>1473</v>
      </c>
      <c r="C833" s="26" t="s">
        <v>1473</v>
      </c>
      <c r="D833" s="26" t="s">
        <v>28</v>
      </c>
      <c r="E833" s="26" t="s">
        <v>1474</v>
      </c>
      <c r="F833" s="26" t="s">
        <v>1283</v>
      </c>
      <c r="G833" s="26" t="s">
        <v>315</v>
      </c>
      <c r="J833" s="26" t="s">
        <v>90</v>
      </c>
      <c r="L833" s="26" t="s">
        <v>91</v>
      </c>
      <c r="N833" s="28">
        <v>45292</v>
      </c>
      <c r="O833" s="45">
        <v>45657</v>
      </c>
      <c r="P833" s="26">
        <v>52</v>
      </c>
      <c r="Q833" s="35" t="s">
        <v>49</v>
      </c>
      <c r="R833" s="29">
        <v>1540941039</v>
      </c>
      <c r="S833" s="26"/>
      <c r="T833" s="29">
        <v>0</v>
      </c>
      <c r="U833" s="36">
        <v>0</v>
      </c>
      <c r="X833" s="26" t="s">
        <v>50</v>
      </c>
    </row>
    <row r="834" spans="1:24" x14ac:dyDescent="0.35">
      <c r="A834" s="26" t="s">
        <v>1475</v>
      </c>
      <c r="B834" s="32" t="s">
        <v>1476</v>
      </c>
      <c r="C834" s="26" t="s">
        <v>1476</v>
      </c>
      <c r="D834" s="26" t="s">
        <v>28</v>
      </c>
      <c r="E834" s="26" t="s">
        <v>1474</v>
      </c>
      <c r="F834" s="26" t="s">
        <v>1283</v>
      </c>
      <c r="G834" s="26" t="s">
        <v>315</v>
      </c>
      <c r="J834" s="26" t="s">
        <v>90</v>
      </c>
      <c r="L834" s="26" t="s">
        <v>91</v>
      </c>
      <c r="N834" s="28">
        <v>45292</v>
      </c>
      <c r="O834" s="45">
        <v>45657</v>
      </c>
      <c r="P834" s="26">
        <v>52</v>
      </c>
      <c r="Q834" s="35" t="s">
        <v>49</v>
      </c>
      <c r="R834" s="29">
        <v>325815610</v>
      </c>
      <c r="S834" s="26"/>
      <c r="T834" s="29">
        <v>0</v>
      </c>
      <c r="U834" s="36">
        <v>0</v>
      </c>
      <c r="X834" s="26" t="s">
        <v>318</v>
      </c>
    </row>
    <row r="835" spans="1:24" x14ac:dyDescent="0.35">
      <c r="A835" s="26" t="s">
        <v>1477</v>
      </c>
      <c r="B835" s="32" t="s">
        <v>1478</v>
      </c>
      <c r="C835" s="26" t="s">
        <v>1478</v>
      </c>
      <c r="D835" s="26" t="s">
        <v>28</v>
      </c>
      <c r="E835" s="26" t="s">
        <v>1474</v>
      </c>
      <c r="F835" s="26" t="s">
        <v>1283</v>
      </c>
      <c r="G835" s="26" t="s">
        <v>315</v>
      </c>
      <c r="J835" s="26" t="s">
        <v>90</v>
      </c>
      <c r="L835" s="26" t="s">
        <v>91</v>
      </c>
      <c r="N835" s="28">
        <v>45292</v>
      </c>
      <c r="O835" s="45">
        <v>45657</v>
      </c>
      <c r="P835" s="26">
        <v>52</v>
      </c>
      <c r="Q835" s="35" t="s">
        <v>49</v>
      </c>
      <c r="R835" s="29">
        <v>20000000</v>
      </c>
      <c r="S835" s="26"/>
      <c r="T835" s="29">
        <v>0</v>
      </c>
      <c r="U835" s="36">
        <v>0</v>
      </c>
      <c r="X835" s="26" t="s">
        <v>50</v>
      </c>
    </row>
    <row r="836" spans="1:24" x14ac:dyDescent="0.35">
      <c r="A836" s="26" t="s">
        <v>1479</v>
      </c>
      <c r="B836" s="32" t="s">
        <v>1480</v>
      </c>
      <c r="C836" s="26" t="s">
        <v>1480</v>
      </c>
      <c r="D836" s="26" t="s">
        <v>28</v>
      </c>
      <c r="E836" s="26" t="s">
        <v>1474</v>
      </c>
      <c r="F836" s="26" t="s">
        <v>1283</v>
      </c>
      <c r="G836" s="26" t="s">
        <v>315</v>
      </c>
      <c r="J836" s="26" t="s">
        <v>90</v>
      </c>
      <c r="L836" s="26" t="s">
        <v>1481</v>
      </c>
      <c r="N836" s="28">
        <v>45292</v>
      </c>
      <c r="O836" s="45">
        <v>45657</v>
      </c>
      <c r="P836" s="26">
        <v>52</v>
      </c>
      <c r="Q836" s="35" t="s">
        <v>49</v>
      </c>
      <c r="R836" s="29">
        <v>180000000</v>
      </c>
      <c r="S836" s="26"/>
      <c r="T836" s="29">
        <v>0</v>
      </c>
      <c r="U836" s="36">
        <v>0</v>
      </c>
      <c r="X836" s="26" t="s">
        <v>318</v>
      </c>
    </row>
    <row r="837" spans="1:24" x14ac:dyDescent="0.35">
      <c r="A837" s="26" t="s">
        <v>1482</v>
      </c>
      <c r="B837" s="32" t="s">
        <v>1483</v>
      </c>
      <c r="C837" s="26" t="s">
        <v>1483</v>
      </c>
      <c r="D837" s="26" t="s">
        <v>28</v>
      </c>
      <c r="E837" s="26" t="s">
        <v>1474</v>
      </c>
      <c r="F837" s="26" t="s">
        <v>1283</v>
      </c>
      <c r="G837" s="26" t="s">
        <v>315</v>
      </c>
      <c r="J837" s="26" t="s">
        <v>90</v>
      </c>
      <c r="L837" s="26" t="s">
        <v>40</v>
      </c>
      <c r="N837" s="28">
        <v>45292</v>
      </c>
      <c r="O837" s="45">
        <v>45657</v>
      </c>
      <c r="P837" s="26">
        <v>52</v>
      </c>
      <c r="Q837" s="35" t="s">
        <v>49</v>
      </c>
      <c r="R837" s="29">
        <v>120000000</v>
      </c>
      <c r="S837" s="26"/>
      <c r="T837" s="29">
        <v>0</v>
      </c>
      <c r="U837" s="36">
        <v>0</v>
      </c>
      <c r="X837" s="26" t="s">
        <v>50</v>
      </c>
    </row>
    <row r="838" spans="1:24" x14ac:dyDescent="0.35">
      <c r="A838" s="26" t="s">
        <v>1682</v>
      </c>
      <c r="B838" s="32" t="s">
        <v>1683</v>
      </c>
      <c r="C838" s="26" t="s">
        <v>1683</v>
      </c>
      <c r="D838" s="26" t="s">
        <v>28</v>
      </c>
      <c r="E838" s="26" t="s">
        <v>1684</v>
      </c>
      <c r="F838" s="26" t="s">
        <v>1249</v>
      </c>
      <c r="G838" s="26" t="s">
        <v>1676</v>
      </c>
      <c r="J838" s="26" t="s">
        <v>31</v>
      </c>
      <c r="L838" s="26" t="s">
        <v>32</v>
      </c>
      <c r="N838" s="28">
        <v>45292</v>
      </c>
      <c r="O838" s="45">
        <v>45657</v>
      </c>
      <c r="P838" s="26">
        <v>52</v>
      </c>
      <c r="Q838" s="35" t="s">
        <v>49</v>
      </c>
      <c r="R838" s="29">
        <v>79434083</v>
      </c>
      <c r="S838" s="26"/>
      <c r="T838" s="29">
        <v>0</v>
      </c>
      <c r="U838" s="36">
        <v>0</v>
      </c>
      <c r="X838" s="26" t="s">
        <v>1168</v>
      </c>
    </row>
    <row r="839" spans="1:24" x14ac:dyDescent="0.35">
      <c r="A839" s="26" t="s">
        <v>1685</v>
      </c>
      <c r="B839" s="32" t="s">
        <v>1686</v>
      </c>
      <c r="C839" s="26" t="s">
        <v>1686</v>
      </c>
      <c r="D839" s="26" t="s">
        <v>28</v>
      </c>
      <c r="E839" s="26" t="s">
        <v>1684</v>
      </c>
      <c r="F839" s="26" t="s">
        <v>1249</v>
      </c>
      <c r="G839" s="26" t="s">
        <v>1676</v>
      </c>
      <c r="J839" s="26" t="s">
        <v>31</v>
      </c>
      <c r="L839" s="26" t="s">
        <v>32</v>
      </c>
      <c r="N839" s="28">
        <v>45292</v>
      </c>
      <c r="O839" s="45">
        <v>45657</v>
      </c>
      <c r="P839" s="26">
        <v>52</v>
      </c>
      <c r="Q839" s="35" t="s">
        <v>49</v>
      </c>
      <c r="R839" s="29">
        <v>80600000</v>
      </c>
      <c r="S839" s="26"/>
      <c r="T839" s="29">
        <v>0</v>
      </c>
      <c r="U839" s="36">
        <v>0</v>
      </c>
      <c r="X839" s="26" t="s">
        <v>1168</v>
      </c>
    </row>
    <row r="840" spans="1:24" x14ac:dyDescent="0.35">
      <c r="A840" s="26" t="s">
        <v>1687</v>
      </c>
      <c r="B840" s="32" t="s">
        <v>1688</v>
      </c>
      <c r="C840" s="26" t="s">
        <v>1688</v>
      </c>
      <c r="D840" s="26" t="s">
        <v>28</v>
      </c>
      <c r="E840" s="26" t="s">
        <v>1684</v>
      </c>
      <c r="F840" s="26" t="s">
        <v>1249</v>
      </c>
      <c r="G840" s="26" t="s">
        <v>1676</v>
      </c>
      <c r="J840" s="26" t="s">
        <v>31</v>
      </c>
      <c r="L840" s="26" t="s">
        <v>32</v>
      </c>
      <c r="N840" s="28">
        <v>45292</v>
      </c>
      <c r="O840" s="45">
        <v>45657</v>
      </c>
      <c r="P840" s="26">
        <v>52</v>
      </c>
      <c r="Q840" s="35" t="s">
        <v>49</v>
      </c>
      <c r="R840" s="50">
        <v>500000000</v>
      </c>
      <c r="S840" s="26"/>
      <c r="T840" s="50">
        <v>0</v>
      </c>
      <c r="U840" s="36">
        <v>0</v>
      </c>
      <c r="X840" s="26" t="s">
        <v>1168</v>
      </c>
    </row>
    <row r="841" spans="1:24" x14ac:dyDescent="0.35">
      <c r="A841" s="26" t="s">
        <v>1689</v>
      </c>
      <c r="B841" s="32" t="s">
        <v>1690</v>
      </c>
      <c r="C841" s="26" t="s">
        <v>1690</v>
      </c>
      <c r="D841" s="26" t="s">
        <v>28</v>
      </c>
      <c r="E841" s="26" t="s">
        <v>1691</v>
      </c>
      <c r="F841" s="26" t="s">
        <v>1283</v>
      </c>
      <c r="G841" s="26" t="s">
        <v>162</v>
      </c>
      <c r="J841" s="26" t="s">
        <v>31</v>
      </c>
      <c r="L841" s="26" t="s">
        <v>40</v>
      </c>
      <c r="N841" s="28">
        <v>45292</v>
      </c>
      <c r="O841" s="45">
        <v>45657</v>
      </c>
      <c r="P841" s="26">
        <v>52</v>
      </c>
      <c r="Q841" s="35" t="s">
        <v>49</v>
      </c>
      <c r="R841" s="50">
        <v>500000000</v>
      </c>
      <c r="S841" s="26"/>
      <c r="T841" s="50">
        <v>0</v>
      </c>
      <c r="U841" s="36">
        <v>0</v>
      </c>
      <c r="X841" s="26" t="s">
        <v>165</v>
      </c>
    </row>
    <row r="842" spans="1:24" x14ac:dyDescent="0.35">
      <c r="A842" s="26" t="s">
        <v>1692</v>
      </c>
      <c r="B842" s="32" t="s">
        <v>1693</v>
      </c>
      <c r="C842" s="26" t="s">
        <v>1693</v>
      </c>
      <c r="D842" s="26" t="s">
        <v>28</v>
      </c>
      <c r="E842" s="26" t="s">
        <v>1691</v>
      </c>
      <c r="F842" s="26" t="s">
        <v>1283</v>
      </c>
      <c r="G842" s="26" t="s">
        <v>162</v>
      </c>
      <c r="J842" s="26" t="s">
        <v>31</v>
      </c>
      <c r="L842" s="26" t="s">
        <v>40</v>
      </c>
      <c r="N842" s="28">
        <v>45292</v>
      </c>
      <c r="O842" s="45">
        <v>45657</v>
      </c>
      <c r="P842" s="26">
        <v>52</v>
      </c>
      <c r="Q842" s="35" t="s">
        <v>49</v>
      </c>
      <c r="R842" s="50">
        <v>100000000</v>
      </c>
      <c r="S842" s="26"/>
      <c r="T842" s="50">
        <v>0</v>
      </c>
      <c r="U842" s="36">
        <v>0</v>
      </c>
      <c r="X842" s="26" t="s">
        <v>165</v>
      </c>
    </row>
    <row r="843" spans="1:24" x14ac:dyDescent="0.35">
      <c r="A843" s="26" t="s">
        <v>1694</v>
      </c>
      <c r="B843" s="32" t="s">
        <v>1695</v>
      </c>
      <c r="C843" s="26" t="s">
        <v>1695</v>
      </c>
      <c r="D843" s="26" t="s">
        <v>28</v>
      </c>
      <c r="E843" s="26" t="s">
        <v>1691</v>
      </c>
      <c r="F843" s="26" t="s">
        <v>1283</v>
      </c>
      <c r="G843" s="26" t="s">
        <v>162</v>
      </c>
      <c r="J843" s="26" t="s">
        <v>31</v>
      </c>
      <c r="L843" s="26" t="s">
        <v>40</v>
      </c>
      <c r="N843" s="28">
        <v>45292</v>
      </c>
      <c r="O843" s="45">
        <v>45657</v>
      </c>
      <c r="P843" s="26">
        <v>52</v>
      </c>
      <c r="Q843" s="35" t="s">
        <v>49</v>
      </c>
      <c r="R843" s="50">
        <v>30000000</v>
      </c>
      <c r="S843" s="26"/>
      <c r="T843" s="50">
        <v>0</v>
      </c>
      <c r="U843" s="36">
        <v>0</v>
      </c>
      <c r="X843" s="26" t="s">
        <v>165</v>
      </c>
    </row>
    <row r="844" spans="1:24" x14ac:dyDescent="0.35">
      <c r="A844" s="26" t="s">
        <v>1696</v>
      </c>
      <c r="B844" s="32" t="s">
        <v>1697</v>
      </c>
      <c r="C844" s="26" t="s">
        <v>1697</v>
      </c>
      <c r="D844" s="26" t="s">
        <v>28</v>
      </c>
      <c r="E844" s="26" t="s">
        <v>1691</v>
      </c>
      <c r="F844" s="26" t="s">
        <v>1283</v>
      </c>
      <c r="G844" s="26" t="s">
        <v>162</v>
      </c>
      <c r="J844" s="26" t="s">
        <v>31</v>
      </c>
      <c r="L844" s="26" t="s">
        <v>40</v>
      </c>
      <c r="N844" s="28">
        <v>45292</v>
      </c>
      <c r="O844" s="45">
        <v>45657</v>
      </c>
      <c r="P844" s="26">
        <v>52</v>
      </c>
      <c r="Q844" s="35" t="s">
        <v>49</v>
      </c>
      <c r="R844" s="50">
        <v>910000000</v>
      </c>
      <c r="S844" s="26"/>
      <c r="T844" s="50">
        <v>0</v>
      </c>
      <c r="U844" s="36">
        <v>0</v>
      </c>
      <c r="X844" s="26" t="s">
        <v>165</v>
      </c>
    </row>
    <row r="845" spans="1:24" x14ac:dyDescent="0.35">
      <c r="A845" s="26" t="s">
        <v>2618</v>
      </c>
      <c r="B845" s="10" t="s">
        <v>1429</v>
      </c>
      <c r="C845" s="26" t="s">
        <v>1429</v>
      </c>
      <c r="D845" s="26" t="s">
        <v>28</v>
      </c>
      <c r="E845" s="26" t="s">
        <v>1424</v>
      </c>
      <c r="F845" s="26" t="s">
        <v>1249</v>
      </c>
      <c r="G845" s="26" t="s">
        <v>162</v>
      </c>
      <c r="J845" s="26" t="s">
        <v>146</v>
      </c>
      <c r="L845" s="26" t="s">
        <v>164</v>
      </c>
      <c r="N845" s="28">
        <v>45292</v>
      </c>
      <c r="O845" s="45">
        <v>45657</v>
      </c>
      <c r="P845" s="26">
        <v>52</v>
      </c>
      <c r="Q845" s="35" t="s">
        <v>49</v>
      </c>
      <c r="R845" s="29">
        <v>5000000</v>
      </c>
      <c r="S845" s="26"/>
      <c r="T845" s="29">
        <v>0</v>
      </c>
      <c r="U845" s="36">
        <v>0</v>
      </c>
      <c r="X845" s="26" t="s">
        <v>1430</v>
      </c>
    </row>
    <row r="846" spans="1:24" x14ac:dyDescent="0.35">
      <c r="A846" s="26" t="s">
        <v>1428</v>
      </c>
      <c r="B846" s="32" t="s">
        <v>1698</v>
      </c>
      <c r="C846" s="26" t="s">
        <v>1698</v>
      </c>
      <c r="D846" s="26" t="s">
        <v>28</v>
      </c>
      <c r="E846" s="26" t="s">
        <v>1691</v>
      </c>
      <c r="F846" s="26" t="s">
        <v>1283</v>
      </c>
      <c r="G846" s="26" t="s">
        <v>162</v>
      </c>
      <c r="J846" s="26" t="s">
        <v>31</v>
      </c>
      <c r="L846" s="26" t="s">
        <v>40</v>
      </c>
      <c r="N846" s="28">
        <v>45292</v>
      </c>
      <c r="O846" s="45">
        <v>45657</v>
      </c>
      <c r="P846" s="26">
        <v>52</v>
      </c>
      <c r="Q846" s="35" t="s">
        <v>49</v>
      </c>
      <c r="R846" s="29">
        <v>20000000</v>
      </c>
      <c r="S846" s="26"/>
      <c r="T846" s="29">
        <v>0</v>
      </c>
      <c r="U846" s="36">
        <v>0</v>
      </c>
      <c r="X846" s="26" t="s">
        <v>165</v>
      </c>
    </row>
    <row r="847" spans="1:24" x14ac:dyDescent="0.35">
      <c r="A847" s="26" t="s">
        <v>1699</v>
      </c>
      <c r="B847" s="32" t="s">
        <v>1700</v>
      </c>
      <c r="C847" s="26" t="s">
        <v>1700</v>
      </c>
      <c r="D847" s="26" t="s">
        <v>28</v>
      </c>
      <c r="E847" s="26" t="s">
        <v>1691</v>
      </c>
      <c r="F847" s="26" t="s">
        <v>1283</v>
      </c>
      <c r="G847" s="26" t="s">
        <v>162</v>
      </c>
      <c r="J847" s="26" t="s">
        <v>426</v>
      </c>
      <c r="L847" s="26" t="s">
        <v>575</v>
      </c>
      <c r="N847" s="28">
        <v>45292</v>
      </c>
      <c r="O847" s="45">
        <v>45657</v>
      </c>
      <c r="P847" s="26">
        <v>52</v>
      </c>
      <c r="Q847" s="35" t="s">
        <v>49</v>
      </c>
      <c r="R847" s="29">
        <v>20000000</v>
      </c>
      <c r="S847" s="26"/>
      <c r="T847" s="29">
        <v>0</v>
      </c>
      <c r="U847" s="36">
        <v>0</v>
      </c>
      <c r="X847" s="26" t="s">
        <v>1462</v>
      </c>
    </row>
    <row r="848" spans="1:24" x14ac:dyDescent="0.35">
      <c r="A848" s="26" t="s">
        <v>1701</v>
      </c>
      <c r="B848" s="32" t="s">
        <v>1702</v>
      </c>
      <c r="C848" s="26" t="s">
        <v>1702</v>
      </c>
      <c r="D848" s="26" t="s">
        <v>28</v>
      </c>
      <c r="E848" s="26" t="s">
        <v>1691</v>
      </c>
      <c r="F848" s="26" t="s">
        <v>1283</v>
      </c>
      <c r="G848" s="26" t="s">
        <v>162</v>
      </c>
      <c r="J848" s="26" t="s">
        <v>426</v>
      </c>
      <c r="L848" s="26" t="s">
        <v>575</v>
      </c>
      <c r="N848" s="28">
        <v>45292</v>
      </c>
      <c r="O848" s="45">
        <v>45657</v>
      </c>
      <c r="P848" s="26">
        <v>52</v>
      </c>
      <c r="Q848" s="35" t="s">
        <v>49</v>
      </c>
      <c r="R848" s="29">
        <v>60000000</v>
      </c>
      <c r="S848" s="26"/>
      <c r="T848" s="29">
        <v>0</v>
      </c>
      <c r="U848" s="36">
        <v>0</v>
      </c>
      <c r="X848" s="26" t="s">
        <v>1462</v>
      </c>
    </row>
    <row r="849" spans="1:24" x14ac:dyDescent="0.35">
      <c r="A849" s="26" t="s">
        <v>1703</v>
      </c>
      <c r="B849" s="32" t="s">
        <v>1704</v>
      </c>
      <c r="C849" s="26" t="s">
        <v>1704</v>
      </c>
      <c r="D849" s="26" t="s">
        <v>28</v>
      </c>
      <c r="E849" s="26" t="s">
        <v>1691</v>
      </c>
      <c r="F849" s="26" t="s">
        <v>1283</v>
      </c>
      <c r="G849" s="26" t="s">
        <v>162</v>
      </c>
      <c r="J849" s="26" t="s">
        <v>426</v>
      </c>
      <c r="L849" s="26" t="s">
        <v>32</v>
      </c>
      <c r="N849" s="28">
        <v>45292</v>
      </c>
      <c r="O849" s="45">
        <v>45657</v>
      </c>
      <c r="P849" s="26">
        <v>52</v>
      </c>
      <c r="Q849" s="35" t="s">
        <v>49</v>
      </c>
      <c r="R849" s="29">
        <v>115000000</v>
      </c>
      <c r="S849" s="26"/>
      <c r="T849" s="29">
        <v>0</v>
      </c>
      <c r="U849" s="36">
        <v>0</v>
      </c>
      <c r="X849" s="26" t="s">
        <v>165</v>
      </c>
    </row>
    <row r="850" spans="1:24" x14ac:dyDescent="0.35">
      <c r="A850" s="26" t="s">
        <v>1705</v>
      </c>
      <c r="B850" s="32" t="s">
        <v>1706</v>
      </c>
      <c r="C850" s="26" t="s">
        <v>1706</v>
      </c>
      <c r="D850" s="26" t="s">
        <v>28</v>
      </c>
      <c r="E850" s="26" t="s">
        <v>1691</v>
      </c>
      <c r="F850" s="26" t="s">
        <v>1283</v>
      </c>
      <c r="G850" s="26" t="s">
        <v>162</v>
      </c>
      <c r="J850" s="26" t="s">
        <v>31</v>
      </c>
      <c r="L850" s="26" t="s">
        <v>32</v>
      </c>
      <c r="N850" s="28">
        <v>45292</v>
      </c>
      <c r="O850" s="45">
        <v>45657</v>
      </c>
      <c r="P850" s="26">
        <v>52</v>
      </c>
      <c r="Q850" s="35" t="s">
        <v>49</v>
      </c>
      <c r="R850" s="29">
        <v>100000000</v>
      </c>
      <c r="S850" s="26"/>
      <c r="T850" s="29">
        <v>0</v>
      </c>
      <c r="U850" s="36">
        <v>0</v>
      </c>
      <c r="X850" s="26" t="s">
        <v>165</v>
      </c>
    </row>
    <row r="851" spans="1:24" x14ac:dyDescent="0.35">
      <c r="A851" s="26" t="s">
        <v>1707</v>
      </c>
      <c r="B851" s="32" t="s">
        <v>1708</v>
      </c>
      <c r="C851" s="26" t="s">
        <v>1708</v>
      </c>
      <c r="D851" s="26" t="s">
        <v>28</v>
      </c>
      <c r="E851" s="26" t="s">
        <v>1691</v>
      </c>
      <c r="F851" s="26" t="s">
        <v>1283</v>
      </c>
      <c r="G851" s="26" t="s">
        <v>162</v>
      </c>
      <c r="J851" s="26" t="s">
        <v>31</v>
      </c>
      <c r="L851" s="26" t="s">
        <v>32</v>
      </c>
      <c r="N851" s="28">
        <v>45292</v>
      </c>
      <c r="O851" s="45">
        <v>45657</v>
      </c>
      <c r="P851" s="26">
        <v>52</v>
      </c>
      <c r="Q851" s="35" t="s">
        <v>49</v>
      </c>
      <c r="R851" s="29">
        <v>110000000</v>
      </c>
      <c r="S851" s="26"/>
      <c r="T851" s="29">
        <v>0</v>
      </c>
      <c r="U851" s="36">
        <v>0</v>
      </c>
      <c r="X851" s="26" t="s">
        <v>165</v>
      </c>
    </row>
    <row r="852" spans="1:24" x14ac:dyDescent="0.35">
      <c r="A852" s="26" t="s">
        <v>1709</v>
      </c>
      <c r="B852" s="32" t="s">
        <v>1710</v>
      </c>
      <c r="C852" s="26" t="s">
        <v>1710</v>
      </c>
      <c r="D852" s="26" t="s">
        <v>28</v>
      </c>
      <c r="E852" s="26" t="s">
        <v>1691</v>
      </c>
      <c r="F852" s="26" t="s">
        <v>1283</v>
      </c>
      <c r="G852" s="26" t="s">
        <v>162</v>
      </c>
      <c r="J852" s="26" t="s">
        <v>31</v>
      </c>
      <c r="L852" s="26" t="s">
        <v>32</v>
      </c>
      <c r="N852" s="28">
        <v>45292</v>
      </c>
      <c r="O852" s="45">
        <v>45657</v>
      </c>
      <c r="P852" s="26">
        <v>52</v>
      </c>
      <c r="Q852" s="35" t="s">
        <v>49</v>
      </c>
      <c r="R852" s="29">
        <v>60000000</v>
      </c>
      <c r="S852" s="26"/>
      <c r="T852" s="29">
        <v>0</v>
      </c>
      <c r="U852" s="36">
        <v>0</v>
      </c>
      <c r="X852" s="26" t="s">
        <v>165</v>
      </c>
    </row>
    <row r="853" spans="1:24" x14ac:dyDescent="0.35">
      <c r="A853" s="26" t="s">
        <v>1711</v>
      </c>
      <c r="B853" s="32" t="s">
        <v>1712</v>
      </c>
      <c r="C853" s="26" t="s">
        <v>1712</v>
      </c>
      <c r="D853" s="26" t="s">
        <v>28</v>
      </c>
      <c r="E853" s="26" t="s">
        <v>1691</v>
      </c>
      <c r="F853" s="26" t="s">
        <v>1283</v>
      </c>
      <c r="G853" s="26" t="s">
        <v>162</v>
      </c>
      <c r="J853" s="26" t="s">
        <v>31</v>
      </c>
      <c r="L853" s="26" t="s">
        <v>32</v>
      </c>
      <c r="N853" s="28">
        <v>45292</v>
      </c>
      <c r="O853" s="45">
        <v>45657</v>
      </c>
      <c r="P853" s="26">
        <v>52</v>
      </c>
      <c r="Q853" s="35" t="s">
        <v>49</v>
      </c>
      <c r="R853" s="29">
        <v>70000000</v>
      </c>
      <c r="S853" s="26"/>
      <c r="T853" s="29">
        <v>0</v>
      </c>
      <c r="U853" s="36">
        <v>0</v>
      </c>
      <c r="X853" s="26" t="s">
        <v>165</v>
      </c>
    </row>
    <row r="854" spans="1:24" x14ac:dyDescent="0.35">
      <c r="A854" s="26" t="s">
        <v>1713</v>
      </c>
      <c r="B854" s="32" t="s">
        <v>1714</v>
      </c>
      <c r="C854" s="26" t="s">
        <v>1714</v>
      </c>
      <c r="D854" s="26" t="s">
        <v>28</v>
      </c>
      <c r="E854" s="26" t="s">
        <v>1691</v>
      </c>
      <c r="F854" s="26" t="s">
        <v>1283</v>
      </c>
      <c r="G854" s="26" t="s">
        <v>162</v>
      </c>
      <c r="J854" s="26" t="s">
        <v>31</v>
      </c>
      <c r="L854" s="26" t="s">
        <v>32</v>
      </c>
      <c r="N854" s="28">
        <v>45292</v>
      </c>
      <c r="O854" s="45">
        <v>45657</v>
      </c>
      <c r="P854" s="26">
        <v>52</v>
      </c>
      <c r="Q854" s="35" t="s">
        <v>49</v>
      </c>
      <c r="R854" s="29">
        <v>105000000</v>
      </c>
      <c r="S854" s="26"/>
      <c r="T854" s="29">
        <v>0</v>
      </c>
      <c r="U854" s="36">
        <v>0</v>
      </c>
      <c r="X854" s="26" t="s">
        <v>165</v>
      </c>
    </row>
    <row r="855" spans="1:24" x14ac:dyDescent="0.35">
      <c r="A855" s="26" t="s">
        <v>1715</v>
      </c>
      <c r="B855" s="32" t="s">
        <v>1716</v>
      </c>
      <c r="C855" s="26" t="s">
        <v>1716</v>
      </c>
      <c r="D855" s="26" t="s">
        <v>28</v>
      </c>
      <c r="E855" s="26" t="s">
        <v>1691</v>
      </c>
      <c r="F855" s="26" t="s">
        <v>1283</v>
      </c>
      <c r="G855" s="26" t="s">
        <v>162</v>
      </c>
      <c r="J855" s="26" t="s">
        <v>31</v>
      </c>
      <c r="L855" s="26" t="s">
        <v>32</v>
      </c>
      <c r="N855" s="28">
        <v>45292</v>
      </c>
      <c r="O855" s="45">
        <v>45657</v>
      </c>
      <c r="P855" s="26">
        <v>52</v>
      </c>
      <c r="Q855" s="35" t="s">
        <v>49</v>
      </c>
      <c r="R855" s="29">
        <v>150000000</v>
      </c>
      <c r="S855" s="26"/>
      <c r="T855" s="29">
        <v>0</v>
      </c>
      <c r="U855" s="36">
        <v>0</v>
      </c>
      <c r="X855" s="26" t="s">
        <v>165</v>
      </c>
    </row>
    <row r="856" spans="1:24" x14ac:dyDescent="0.35">
      <c r="A856" s="26" t="s">
        <v>1717</v>
      </c>
      <c r="B856" s="32" t="s">
        <v>1718</v>
      </c>
      <c r="C856" s="26" t="s">
        <v>1718</v>
      </c>
      <c r="D856" s="26" t="s">
        <v>28</v>
      </c>
      <c r="E856" s="26" t="s">
        <v>1691</v>
      </c>
      <c r="F856" s="26" t="s">
        <v>1283</v>
      </c>
      <c r="G856" s="26" t="s">
        <v>162</v>
      </c>
      <c r="J856" s="26" t="s">
        <v>31</v>
      </c>
      <c r="L856" s="26" t="s">
        <v>32</v>
      </c>
      <c r="N856" s="28">
        <v>45292</v>
      </c>
      <c r="O856" s="45">
        <v>45657</v>
      </c>
      <c r="P856" s="26">
        <v>52</v>
      </c>
      <c r="Q856" s="35" t="s">
        <v>49</v>
      </c>
      <c r="R856" s="29">
        <v>49025609</v>
      </c>
      <c r="S856" s="26"/>
      <c r="T856" s="29">
        <v>0</v>
      </c>
      <c r="U856" s="36">
        <v>0</v>
      </c>
      <c r="X856" s="26" t="s">
        <v>165</v>
      </c>
    </row>
    <row r="857" spans="1:24" x14ac:dyDescent="0.35">
      <c r="A857" s="26" t="s">
        <v>1719</v>
      </c>
      <c r="B857" s="32" t="s">
        <v>1720</v>
      </c>
      <c r="C857" s="26" t="s">
        <v>1721</v>
      </c>
      <c r="D857" s="26" t="s">
        <v>28</v>
      </c>
      <c r="E857" s="26" t="s">
        <v>1691</v>
      </c>
      <c r="F857" s="26" t="s">
        <v>1283</v>
      </c>
      <c r="G857" s="26" t="s">
        <v>162</v>
      </c>
      <c r="J857" s="26" t="s">
        <v>146</v>
      </c>
      <c r="L857" s="26" t="s">
        <v>164</v>
      </c>
      <c r="N857" s="28">
        <v>44967</v>
      </c>
      <c r="O857" s="49" t="s">
        <v>1722</v>
      </c>
      <c r="P857" s="26">
        <v>12</v>
      </c>
      <c r="Q857" s="35" t="s">
        <v>211</v>
      </c>
      <c r="R857" s="29">
        <v>700000000</v>
      </c>
      <c r="S857" s="26"/>
      <c r="T857" s="29">
        <v>700000000</v>
      </c>
      <c r="U857" s="36">
        <v>1</v>
      </c>
      <c r="X857" s="26" t="s">
        <v>1306</v>
      </c>
    </row>
    <row r="858" spans="1:24" x14ac:dyDescent="0.35">
      <c r="A858" s="26" t="s">
        <v>1641</v>
      </c>
      <c r="B858" s="32" t="s">
        <v>1642</v>
      </c>
      <c r="C858" s="26" t="s">
        <v>1642</v>
      </c>
      <c r="D858" s="26" t="s">
        <v>28</v>
      </c>
      <c r="E858" s="26" t="s">
        <v>1643</v>
      </c>
      <c r="F858" s="26" t="s">
        <v>1249</v>
      </c>
      <c r="G858" s="26" t="s">
        <v>162</v>
      </c>
      <c r="J858" s="26" t="s">
        <v>146</v>
      </c>
      <c r="L858" s="26" t="s">
        <v>1251</v>
      </c>
      <c r="N858" s="28">
        <v>45292</v>
      </c>
      <c r="O858" s="45">
        <v>45657</v>
      </c>
      <c r="P858" s="26">
        <v>52</v>
      </c>
      <c r="Q858" s="35" t="s">
        <v>49</v>
      </c>
      <c r="R858" s="29">
        <v>1998477207.4000001</v>
      </c>
      <c r="S858" s="26"/>
      <c r="T858" s="29">
        <v>0</v>
      </c>
      <c r="U858" s="36">
        <v>0</v>
      </c>
      <c r="X858" s="26" t="s">
        <v>165</v>
      </c>
    </row>
    <row r="859" spans="1:24" x14ac:dyDescent="0.35">
      <c r="A859" s="26" t="s">
        <v>2587</v>
      </c>
      <c r="B859" s="32" t="s">
        <v>2554</v>
      </c>
      <c r="C859" s="26" t="s">
        <v>2585</v>
      </c>
      <c r="D859" s="26" t="s">
        <v>117</v>
      </c>
      <c r="E859" s="26" t="s">
        <v>2584</v>
      </c>
      <c r="F859" s="26" t="s">
        <v>1249</v>
      </c>
      <c r="G859" s="26" t="s">
        <v>2621</v>
      </c>
      <c r="J859" s="26" t="s">
        <v>31</v>
      </c>
      <c r="L859" s="26" t="s">
        <v>32</v>
      </c>
      <c r="N859" s="28">
        <v>46026</v>
      </c>
      <c r="O859" s="45" t="s">
        <v>2563</v>
      </c>
      <c r="P859" s="26">
        <v>20</v>
      </c>
      <c r="Q859" s="35" t="s">
        <v>34</v>
      </c>
      <c r="R859" s="29">
        <v>500000000</v>
      </c>
      <c r="S859" s="33"/>
      <c r="T859" s="29">
        <v>500000000</v>
      </c>
      <c r="U859" s="36">
        <v>1</v>
      </c>
      <c r="X859" s="26" t="s">
        <v>698</v>
      </c>
    </row>
    <row r="1047790" spans="15:15" x14ac:dyDescent="0.35">
      <c r="O1047790" s="38"/>
    </row>
    <row r="1047791" spans="15:15" x14ac:dyDescent="0.35">
      <c r="O1047791" s="27"/>
    </row>
    <row r="1047792" spans="15:15" x14ac:dyDescent="0.35">
      <c r="O1047792" s="27"/>
    </row>
    <row r="1047793" spans="15:15" x14ac:dyDescent="0.35">
      <c r="O1047793" s="27"/>
    </row>
    <row r="1047794" spans="15:15" x14ac:dyDescent="0.35">
      <c r="O1047794" s="27"/>
    </row>
    <row r="1047795" spans="15:15" x14ac:dyDescent="0.35">
      <c r="O1047795" s="27"/>
    </row>
    <row r="1047796" spans="15:15" x14ac:dyDescent="0.35">
      <c r="O1047796" s="27"/>
    </row>
    <row r="1047797" spans="15:15" x14ac:dyDescent="0.35">
      <c r="O1047797" s="27"/>
    </row>
    <row r="1047798" spans="15:15" x14ac:dyDescent="0.35">
      <c r="O1047798" s="27"/>
    </row>
    <row r="1047799" spans="15:15" x14ac:dyDescent="0.35">
      <c r="O1047799" s="27"/>
    </row>
    <row r="1047800" spans="15:15" x14ac:dyDescent="0.35">
      <c r="O1047800" s="27"/>
    </row>
    <row r="1047801" spans="15:15" x14ac:dyDescent="0.35">
      <c r="O1047801" s="27"/>
    </row>
    <row r="1047802" spans="15:15" x14ac:dyDescent="0.35">
      <c r="O1047802" s="27"/>
    </row>
    <row r="1047803" spans="15:15" x14ac:dyDescent="0.35">
      <c r="O1047803" s="27"/>
    </row>
    <row r="1047804" spans="15:15" x14ac:dyDescent="0.35">
      <c r="O1047804" s="27"/>
    </row>
    <row r="1047805" spans="15:15" x14ac:dyDescent="0.35">
      <c r="O1047805" s="27"/>
    </row>
    <row r="1047806" spans="15:15" x14ac:dyDescent="0.35">
      <c r="O1047806" s="27"/>
    </row>
    <row r="1047807" spans="15:15" x14ac:dyDescent="0.35">
      <c r="O1047807" s="27"/>
    </row>
    <row r="1047808" spans="15:15" x14ac:dyDescent="0.35">
      <c r="O1047808" s="27"/>
    </row>
    <row r="1047809" spans="15:15" x14ac:dyDescent="0.35">
      <c r="O1047809" s="27"/>
    </row>
    <row r="1047810" spans="15:15" x14ac:dyDescent="0.35">
      <c r="O1047810" s="27"/>
    </row>
    <row r="1047811" spans="15:15" x14ac:dyDescent="0.35">
      <c r="O1047811" s="27"/>
    </row>
    <row r="1047812" spans="15:15" x14ac:dyDescent="0.35">
      <c r="O1047812" s="27"/>
    </row>
    <row r="1047813" spans="15:15" x14ac:dyDescent="0.35">
      <c r="O1047813" s="27"/>
    </row>
    <row r="1047814" spans="15:15" x14ac:dyDescent="0.35">
      <c r="O1047814" s="27"/>
    </row>
    <row r="1047815" spans="15:15" x14ac:dyDescent="0.35">
      <c r="O1047815" s="27"/>
    </row>
    <row r="1047816" spans="15:15" x14ac:dyDescent="0.35">
      <c r="O1047816" s="27"/>
    </row>
    <row r="1047817" spans="15:15" x14ac:dyDescent="0.35">
      <c r="O1047817" s="27"/>
    </row>
    <row r="1047818" spans="15:15" x14ac:dyDescent="0.35">
      <c r="O1047818" s="27"/>
    </row>
    <row r="1047819" spans="15:15" x14ac:dyDescent="0.35">
      <c r="O1047819" s="27"/>
    </row>
    <row r="1047820" spans="15:15" x14ac:dyDescent="0.35">
      <c r="O1047820" s="27"/>
    </row>
    <row r="1047821" spans="15:15" x14ac:dyDescent="0.35">
      <c r="O1047821" s="27"/>
    </row>
    <row r="1047822" spans="15:15" x14ac:dyDescent="0.35">
      <c r="O1047822" s="27"/>
    </row>
    <row r="1047823" spans="15:15" x14ac:dyDescent="0.35">
      <c r="O1047823" s="27"/>
    </row>
    <row r="1047824" spans="15:15" x14ac:dyDescent="0.35">
      <c r="O1047824" s="27"/>
    </row>
    <row r="1047825" spans="15:15" x14ac:dyDescent="0.35">
      <c r="O1047825" s="27"/>
    </row>
    <row r="1047826" spans="15:15" x14ac:dyDescent="0.35">
      <c r="O1047826" s="27"/>
    </row>
    <row r="1047827" spans="15:15" x14ac:dyDescent="0.35">
      <c r="O1047827" s="27"/>
    </row>
    <row r="1047828" spans="15:15" x14ac:dyDescent="0.35">
      <c r="O1047828" s="27"/>
    </row>
    <row r="1047829" spans="15:15" x14ac:dyDescent="0.35">
      <c r="O1047829" s="27"/>
    </row>
    <row r="1047830" spans="15:15" x14ac:dyDescent="0.35">
      <c r="O1047830" s="27"/>
    </row>
    <row r="1047831" spans="15:15" x14ac:dyDescent="0.35">
      <c r="O1047831" s="27"/>
    </row>
    <row r="1047832" spans="15:15" x14ac:dyDescent="0.35">
      <c r="O1047832" s="27"/>
    </row>
    <row r="1047833" spans="15:15" x14ac:dyDescent="0.35">
      <c r="O1047833" s="27"/>
    </row>
    <row r="1047834" spans="15:15" x14ac:dyDescent="0.35">
      <c r="O1047834" s="27"/>
    </row>
    <row r="1047835" spans="15:15" x14ac:dyDescent="0.35">
      <c r="O1047835" s="27"/>
    </row>
    <row r="1047836" spans="15:15" x14ac:dyDescent="0.35">
      <c r="O1047836" s="27"/>
    </row>
    <row r="1047837" spans="15:15" x14ac:dyDescent="0.35">
      <c r="O1047837" s="27"/>
    </row>
    <row r="1047838" spans="15:15" x14ac:dyDescent="0.35">
      <c r="O1047838" s="27"/>
    </row>
    <row r="1047839" spans="15:15" x14ac:dyDescent="0.35">
      <c r="O1047839" s="27"/>
    </row>
    <row r="1047840" spans="15:15" x14ac:dyDescent="0.35">
      <c r="O1047840" s="27"/>
    </row>
    <row r="1047841" spans="15:15" x14ac:dyDescent="0.35">
      <c r="O1047841" s="27"/>
    </row>
    <row r="1047842" spans="15:15" x14ac:dyDescent="0.35">
      <c r="O1047842" s="27"/>
    </row>
    <row r="1047843" spans="15:15" x14ac:dyDescent="0.35">
      <c r="O1047843" s="27"/>
    </row>
    <row r="1047844" spans="15:15" x14ac:dyDescent="0.35">
      <c r="O1047844" s="27"/>
    </row>
    <row r="1047845" spans="15:15" x14ac:dyDescent="0.35">
      <c r="O1047845" s="27"/>
    </row>
    <row r="1047846" spans="15:15" x14ac:dyDescent="0.35">
      <c r="O1047846" s="27"/>
    </row>
    <row r="1047847" spans="15:15" x14ac:dyDescent="0.35">
      <c r="O1047847" s="27"/>
    </row>
    <row r="1047848" spans="15:15" x14ac:dyDescent="0.35">
      <c r="O1047848" s="27"/>
    </row>
    <row r="1047849" spans="15:15" x14ac:dyDescent="0.35">
      <c r="O1047849" s="27"/>
    </row>
    <row r="1047850" spans="15:15" x14ac:dyDescent="0.35">
      <c r="O1047850" s="27"/>
    </row>
    <row r="1047851" spans="15:15" x14ac:dyDescent="0.35">
      <c r="O1047851" s="27"/>
    </row>
    <row r="1047852" spans="15:15" x14ac:dyDescent="0.35">
      <c r="O1047852" s="27"/>
    </row>
    <row r="1047853" spans="15:15" x14ac:dyDescent="0.35">
      <c r="O1047853" s="27"/>
    </row>
    <row r="1047854" spans="15:15" x14ac:dyDescent="0.35">
      <c r="O1047854" s="27"/>
    </row>
    <row r="1047855" spans="15:15" x14ac:dyDescent="0.35">
      <c r="O1047855" s="27"/>
    </row>
  </sheetData>
  <autoFilter ref="A1:Z859" xr:uid="{5541F529-9C74-4781-90A4-216A44E89564}"/>
  <sortState xmlns:xlrd2="http://schemas.microsoft.com/office/spreadsheetml/2017/richdata2" ref="A2:Z1047855">
    <sortCondition ref="A1:A1047855"/>
  </sortState>
  <phoneticPr fontId="7" type="noConversion"/>
  <conditionalFormatting sqref="A1:A1048576">
    <cfRule type="duplicateValues" dxfId="0" priority="1"/>
  </conditionalFormatting>
  <dataValidations count="1">
    <dataValidation type="list" allowBlank="1" showInputMessage="1" showErrorMessage="1" sqref="F2:F653 F665:F673 F676:F686 F688:F705 F739:F745 F725 F717:F718 F752 F756:F763 F765:F766 F803:F844 F846:F847 F855 F858:F859" xr:uid="{82BC3AE1-4148-494B-816D-81435D320329}">
      <formula1>"Governor,Ministry,Department,Agency,Office"</formula1>
    </dataValidation>
  </dataValidations>
  <pageMargins left="0.7" right="0.7" top="0.75" bottom="0.75" header="0.3" footer="0.3"/>
  <pageSetup orientation="portrait"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75639-E953-499E-B983-3C2314F53A74}">
  <sheetPr codeName="Sheet2"/>
  <dimension ref="A1:J10"/>
  <sheetViews>
    <sheetView topLeftCell="A2" zoomScale="65" workbookViewId="0">
      <selection activeCell="D3" sqref="D3"/>
    </sheetView>
  </sheetViews>
  <sheetFormatPr defaultColWidth="16.54296875" defaultRowHeight="106" customHeight="1" x14ac:dyDescent="0.35"/>
  <cols>
    <col min="1" max="1" width="3.81640625" style="10" bestFit="1" customWidth="1"/>
    <col min="2" max="5" width="16.54296875" style="10"/>
    <col min="6" max="7" width="16.54296875" style="12"/>
    <col min="8" max="16384" width="16.54296875" style="10"/>
  </cols>
  <sheetData>
    <row r="1" spans="1:10" ht="106" customHeight="1" x14ac:dyDescent="0.35">
      <c r="A1" s="10" t="s">
        <v>2118</v>
      </c>
      <c r="B1" s="10" t="s">
        <v>2119</v>
      </c>
      <c r="C1" s="10" t="s">
        <v>2120</v>
      </c>
      <c r="D1" s="10" t="s">
        <v>2121</v>
      </c>
      <c r="E1" s="10" t="s">
        <v>2122</v>
      </c>
      <c r="F1" s="12" t="s">
        <v>2123</v>
      </c>
      <c r="G1" s="12" t="s">
        <v>2124</v>
      </c>
      <c r="H1" s="10" t="s">
        <v>2125</v>
      </c>
    </row>
    <row r="2" spans="1:10" ht="101.5" x14ac:dyDescent="0.35">
      <c r="A2" s="10">
        <v>1</v>
      </c>
      <c r="B2" s="11" t="s">
        <v>2126</v>
      </c>
      <c r="C2" s="11" t="s">
        <v>2127</v>
      </c>
      <c r="D2" s="11" t="s">
        <v>2128</v>
      </c>
      <c r="E2" s="11" t="s">
        <v>2129</v>
      </c>
      <c r="F2" s="13">
        <v>631219465.87</v>
      </c>
      <c r="G2" s="13">
        <v>631219465.87</v>
      </c>
      <c r="H2" s="11" t="s">
        <v>2130</v>
      </c>
    </row>
    <row r="3" spans="1:10" ht="116" x14ac:dyDescent="0.35">
      <c r="A3" s="11">
        <v>2</v>
      </c>
      <c r="B3" s="11" t="s">
        <v>2131</v>
      </c>
      <c r="C3" s="11" t="s">
        <v>2132</v>
      </c>
      <c r="D3" s="11" t="s">
        <v>2133</v>
      </c>
      <c r="E3" s="11" t="s">
        <v>2134</v>
      </c>
      <c r="F3" s="13">
        <v>48000000</v>
      </c>
      <c r="G3" s="13">
        <v>48000000</v>
      </c>
      <c r="H3" s="11" t="s">
        <v>2135</v>
      </c>
    </row>
    <row r="4" spans="1:10" ht="106" customHeight="1" x14ac:dyDescent="0.35">
      <c r="A4" s="11">
        <v>3</v>
      </c>
      <c r="B4" s="11" t="s">
        <v>2136</v>
      </c>
      <c r="C4" s="11" t="s">
        <v>2137</v>
      </c>
      <c r="D4" s="11" t="s">
        <v>2138</v>
      </c>
      <c r="E4" s="11" t="s">
        <v>2139</v>
      </c>
      <c r="F4" s="13">
        <v>175912000</v>
      </c>
      <c r="G4" s="13">
        <v>164481310</v>
      </c>
      <c r="H4" s="11" t="s">
        <v>2140</v>
      </c>
    </row>
    <row r="5" spans="1:10" ht="106" customHeight="1" x14ac:dyDescent="0.35">
      <c r="A5" s="11">
        <v>4</v>
      </c>
      <c r="B5" s="11" t="s">
        <v>1767</v>
      </c>
      <c r="C5" s="11" t="s">
        <v>1768</v>
      </c>
      <c r="D5" s="11" t="s">
        <v>2141</v>
      </c>
      <c r="E5" s="11" t="s">
        <v>2142</v>
      </c>
      <c r="F5" s="13">
        <v>883548000</v>
      </c>
      <c r="G5" s="13">
        <v>327240000</v>
      </c>
      <c r="H5" s="11" t="s">
        <v>910</v>
      </c>
      <c r="J5" s="14"/>
    </row>
    <row r="6" spans="1:10" ht="106" customHeight="1" x14ac:dyDescent="0.35">
      <c r="A6" s="11">
        <v>5</v>
      </c>
      <c r="B6" s="11" t="s">
        <v>2143</v>
      </c>
      <c r="C6" s="11" t="s">
        <v>710</v>
      </c>
      <c r="D6" s="11" t="s">
        <v>2144</v>
      </c>
      <c r="E6" s="11" t="s">
        <v>2142</v>
      </c>
      <c r="F6" s="13">
        <v>970136088</v>
      </c>
      <c r="G6" s="13">
        <v>383655542.75</v>
      </c>
      <c r="H6" s="11" t="s">
        <v>2145</v>
      </c>
    </row>
    <row r="7" spans="1:10" ht="106" customHeight="1" x14ac:dyDescent="0.35">
      <c r="A7" s="11">
        <v>6</v>
      </c>
      <c r="B7" s="11" t="s">
        <v>2146</v>
      </c>
      <c r="C7" s="11" t="s">
        <v>209</v>
      </c>
      <c r="D7" s="11" t="s">
        <v>2147</v>
      </c>
      <c r="E7" s="11" t="s">
        <v>2142</v>
      </c>
      <c r="F7" s="13">
        <v>234000000</v>
      </c>
      <c r="G7" s="13">
        <v>26309200</v>
      </c>
      <c r="H7" s="11" t="s">
        <v>910</v>
      </c>
    </row>
    <row r="8" spans="1:10" ht="106" customHeight="1" x14ac:dyDescent="0.35">
      <c r="A8" s="11">
        <v>7</v>
      </c>
      <c r="B8" s="11" t="s">
        <v>1770</v>
      </c>
      <c r="C8" s="11" t="s">
        <v>1771</v>
      </c>
      <c r="D8" s="11" t="s">
        <v>2148</v>
      </c>
      <c r="E8" s="11" t="s">
        <v>2134</v>
      </c>
      <c r="F8" s="13">
        <v>230000000</v>
      </c>
      <c r="G8" s="13">
        <v>230000000</v>
      </c>
      <c r="H8" s="11" t="s">
        <v>910</v>
      </c>
    </row>
    <row r="9" spans="1:10" ht="106" customHeight="1" x14ac:dyDescent="0.35">
      <c r="A9" s="11">
        <v>8</v>
      </c>
      <c r="B9" s="11" t="s">
        <v>1789</v>
      </c>
      <c r="C9" s="11" t="s">
        <v>1790</v>
      </c>
      <c r="D9" s="11" t="s">
        <v>2148</v>
      </c>
      <c r="E9" s="11" t="s">
        <v>2134</v>
      </c>
      <c r="F9" s="13">
        <v>500000000</v>
      </c>
      <c r="G9" s="13">
        <v>500000000</v>
      </c>
      <c r="H9" s="11" t="s">
        <v>910</v>
      </c>
    </row>
    <row r="10" spans="1:10" ht="106" customHeight="1" x14ac:dyDescent="0.35">
      <c r="A10" s="11">
        <v>9</v>
      </c>
      <c r="B10" s="11" t="s">
        <v>1792</v>
      </c>
      <c r="C10" s="11" t="s">
        <v>1721</v>
      </c>
      <c r="D10" s="11" t="s">
        <v>2148</v>
      </c>
      <c r="E10" s="11" t="s">
        <v>2134</v>
      </c>
      <c r="F10" s="13">
        <v>700000000</v>
      </c>
      <c r="G10" s="13">
        <v>700000000</v>
      </c>
      <c r="H10" s="11" t="s">
        <v>910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88D21-59A4-426B-BE15-A7F9D3763DC0}">
  <sheetPr codeName="Sheet3"/>
  <dimension ref="A1:M938"/>
  <sheetViews>
    <sheetView topLeftCell="A18" workbookViewId="0">
      <selection activeCell="B2" sqref="B2"/>
    </sheetView>
  </sheetViews>
  <sheetFormatPr defaultRowHeight="14.5" x14ac:dyDescent="0.35"/>
  <cols>
    <col min="1" max="1" width="44.1796875" bestFit="1" customWidth="1"/>
  </cols>
  <sheetData>
    <row r="1" spans="1:2" ht="15.5" x14ac:dyDescent="0.35">
      <c r="A1" s="1" t="s">
        <v>2149</v>
      </c>
      <c r="B1" s="3" t="s">
        <v>2150</v>
      </c>
    </row>
    <row r="2" spans="1:2" x14ac:dyDescent="0.35">
      <c r="A2" s="2" t="s">
        <v>162</v>
      </c>
      <c r="B2" s="2">
        <v>0.1</v>
      </c>
    </row>
    <row r="3" spans="1:2" x14ac:dyDescent="0.35">
      <c r="A3" s="2" t="s">
        <v>315</v>
      </c>
      <c r="B3" s="2">
        <v>0.09</v>
      </c>
    </row>
    <row r="4" spans="1:2" x14ac:dyDescent="0.35">
      <c r="A4" s="2" t="s">
        <v>2151</v>
      </c>
      <c r="B4" s="2">
        <v>7.0000000000000007E-2</v>
      </c>
    </row>
    <row r="5" spans="1:2" x14ac:dyDescent="0.35">
      <c r="A5" s="2" t="s">
        <v>1231</v>
      </c>
      <c r="B5" s="2">
        <v>7.0000000000000007E-2</v>
      </c>
    </row>
    <row r="6" spans="1:2" x14ac:dyDescent="0.35">
      <c r="A6" s="2" t="s">
        <v>2152</v>
      </c>
      <c r="B6" s="2">
        <v>0.05</v>
      </c>
    </row>
    <row r="7" spans="1:2" x14ac:dyDescent="0.35">
      <c r="A7" s="2" t="s">
        <v>940</v>
      </c>
      <c r="B7" s="2">
        <v>0.05</v>
      </c>
    </row>
    <row r="8" spans="1:2" x14ac:dyDescent="0.35">
      <c r="A8" s="2" t="s">
        <v>123</v>
      </c>
      <c r="B8" s="2">
        <v>0.05</v>
      </c>
    </row>
    <row r="9" spans="1:2" x14ac:dyDescent="0.35">
      <c r="A9" s="2" t="s">
        <v>472</v>
      </c>
      <c r="B9" s="2">
        <v>0.05</v>
      </c>
    </row>
    <row r="10" spans="1:2" x14ac:dyDescent="0.35">
      <c r="A10" s="2" t="s">
        <v>29</v>
      </c>
      <c r="B10" s="2">
        <v>0.05</v>
      </c>
    </row>
    <row r="11" spans="1:2" x14ac:dyDescent="0.35">
      <c r="A11" s="2" t="s">
        <v>143</v>
      </c>
      <c r="B11" s="2">
        <v>0.04</v>
      </c>
    </row>
    <row r="12" spans="1:2" x14ac:dyDescent="0.35">
      <c r="A12" s="2" t="s">
        <v>222</v>
      </c>
      <c r="B12" s="2">
        <v>0.04</v>
      </c>
    </row>
    <row r="13" spans="1:2" x14ac:dyDescent="0.35">
      <c r="A13" s="2" t="s">
        <v>996</v>
      </c>
      <c r="B13" s="2">
        <v>0.04</v>
      </c>
    </row>
    <row r="14" spans="1:2" x14ac:dyDescent="0.35">
      <c r="A14" s="2" t="s">
        <v>445</v>
      </c>
      <c r="B14" s="2">
        <v>0.04</v>
      </c>
    </row>
    <row r="15" spans="1:2" x14ac:dyDescent="0.35">
      <c r="A15" s="2" t="s">
        <v>521</v>
      </c>
      <c r="B15" s="2">
        <v>0.04</v>
      </c>
    </row>
    <row r="16" spans="1:2" x14ac:dyDescent="0.35">
      <c r="A16" s="2" t="s">
        <v>2153</v>
      </c>
      <c r="B16" s="2">
        <v>0.03</v>
      </c>
    </row>
    <row r="17" spans="1:13" x14ac:dyDescent="0.35">
      <c r="A17" s="2" t="s">
        <v>684</v>
      </c>
      <c r="B17" s="2">
        <v>0.03</v>
      </c>
    </row>
    <row r="18" spans="1:13" x14ac:dyDescent="0.35">
      <c r="A18" s="2" t="s">
        <v>354</v>
      </c>
      <c r="B18" s="2">
        <v>0.03</v>
      </c>
      <c r="M18" s="8"/>
    </row>
    <row r="19" spans="1:13" x14ac:dyDescent="0.35">
      <c r="A19" s="2" t="s">
        <v>366</v>
      </c>
      <c r="B19" s="2">
        <v>0.03</v>
      </c>
      <c r="M19" s="8"/>
    </row>
    <row r="20" spans="1:13" x14ac:dyDescent="0.35">
      <c r="A20" s="2" t="s">
        <v>2154</v>
      </c>
      <c r="B20" s="2">
        <v>0.03</v>
      </c>
      <c r="M20" s="8"/>
    </row>
    <row r="21" spans="1:13" x14ac:dyDescent="0.35">
      <c r="A21" s="2" t="s">
        <v>466</v>
      </c>
      <c r="B21" s="2">
        <v>0.03</v>
      </c>
      <c r="M21" s="8"/>
    </row>
    <row r="22" spans="1:13" x14ac:dyDescent="0.35">
      <c r="A22" s="2" t="s">
        <v>573</v>
      </c>
      <c r="B22" s="2">
        <v>0.02</v>
      </c>
      <c r="M22" s="8"/>
    </row>
    <row r="23" spans="1:13" x14ac:dyDescent="0.35">
      <c r="A23" s="2" t="s">
        <v>1109</v>
      </c>
      <c r="B23" s="2">
        <v>0.02</v>
      </c>
    </row>
    <row r="25" spans="1:13" x14ac:dyDescent="0.35">
      <c r="B25" s="2">
        <f>SUM(B2:B24)</f>
        <v>1.0000000000000004</v>
      </c>
    </row>
    <row r="938" spans="3:3" x14ac:dyDescent="0.35">
      <c r="C938">
        <f>73-15</f>
        <v>58</v>
      </c>
    </row>
  </sheetData>
  <sortState xmlns:xlrd2="http://schemas.microsoft.com/office/spreadsheetml/2017/richdata2" ref="A2:B23">
    <sortCondition descending="1" ref="B2:B23"/>
  </sortState>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5074-457A-498F-9616-AE9241C92A8B}">
  <sheetPr codeName="Sheet4"/>
  <dimension ref="A1:I12"/>
  <sheetViews>
    <sheetView workbookViewId="0">
      <pane xSplit="1" ySplit="2" topLeftCell="E3" activePane="bottomRight" state="frozen"/>
      <selection pane="topRight" activeCell="B1" sqref="B1"/>
      <selection pane="bottomLeft" activeCell="A3" sqref="A3"/>
      <selection pane="bottomRight" activeCell="F4" sqref="F4"/>
    </sheetView>
  </sheetViews>
  <sheetFormatPr defaultRowHeight="14.5" x14ac:dyDescent="0.35"/>
  <cols>
    <col min="1" max="1" width="68.1796875" bestFit="1" customWidth="1"/>
    <col min="2" max="2" width="33.453125" style="10" customWidth="1"/>
    <col min="3" max="3" width="17.453125" bestFit="1" customWidth="1"/>
    <col min="4" max="4" width="30.1796875" bestFit="1" customWidth="1"/>
    <col min="5" max="5" width="35.54296875" style="10" bestFit="1" customWidth="1"/>
    <col min="6" max="6" width="24.453125" style="17" bestFit="1" customWidth="1"/>
    <col min="7" max="7" width="22.26953125" style="20" bestFit="1" customWidth="1"/>
    <col min="8" max="8" width="27.81640625" style="10" customWidth="1"/>
    <col min="9" max="9" width="31.26953125" style="10" customWidth="1"/>
  </cols>
  <sheetData>
    <row r="1" spans="1:9" ht="29" x14ac:dyDescent="0.35">
      <c r="A1" t="s">
        <v>2155</v>
      </c>
      <c r="B1" s="10" t="s">
        <v>2156</v>
      </c>
      <c r="C1" t="s">
        <v>2157</v>
      </c>
      <c r="D1" t="s">
        <v>2158</v>
      </c>
      <c r="E1" s="10" t="s">
        <v>2159</v>
      </c>
      <c r="F1" s="17" t="s">
        <v>2123</v>
      </c>
      <c r="G1" s="20" t="s">
        <v>2160</v>
      </c>
      <c r="H1" s="10" t="s">
        <v>2161</v>
      </c>
      <c r="I1" s="10" t="s">
        <v>2162</v>
      </c>
    </row>
    <row r="2" spans="1:9" s="15" customFormat="1" ht="43.5" x14ac:dyDescent="0.35">
      <c r="A2" s="15" t="s">
        <v>2163</v>
      </c>
      <c r="B2" s="16" t="s">
        <v>2164</v>
      </c>
      <c r="C2" s="15" t="s">
        <v>2165</v>
      </c>
      <c r="D2" s="15" t="s">
        <v>2166</v>
      </c>
      <c r="E2" s="16" t="s">
        <v>2167</v>
      </c>
      <c r="F2" s="18" t="s">
        <v>2168</v>
      </c>
      <c r="G2" s="21" t="s">
        <v>2169</v>
      </c>
      <c r="H2" s="16" t="s">
        <v>2170</v>
      </c>
      <c r="I2" s="16" t="s">
        <v>2171</v>
      </c>
    </row>
    <row r="3" spans="1:9" s="15" customFormat="1" ht="43.5" x14ac:dyDescent="0.35">
      <c r="A3" s="15" t="s">
        <v>2172</v>
      </c>
      <c r="B3" s="16" t="s">
        <v>2173</v>
      </c>
      <c r="C3" s="15" t="s">
        <v>2165</v>
      </c>
      <c r="D3" s="15" t="s">
        <v>2174</v>
      </c>
      <c r="E3" s="16" t="s">
        <v>2175</v>
      </c>
      <c r="F3" s="18" t="s">
        <v>2176</v>
      </c>
      <c r="G3" s="21" t="s">
        <v>2176</v>
      </c>
      <c r="H3" s="16" t="s">
        <v>2177</v>
      </c>
      <c r="I3" s="16" t="s">
        <v>2178</v>
      </c>
    </row>
    <row r="4" spans="1:9" s="15" customFormat="1" ht="29" x14ac:dyDescent="0.35">
      <c r="A4" s="15" t="s">
        <v>2179</v>
      </c>
      <c r="B4" s="16" t="s">
        <v>2180</v>
      </c>
      <c r="C4" s="15" t="s">
        <v>2165</v>
      </c>
      <c r="D4" s="15">
        <v>0.03</v>
      </c>
      <c r="E4" s="16" t="s">
        <v>2181</v>
      </c>
      <c r="F4" s="19">
        <v>2120823762.5</v>
      </c>
      <c r="G4" s="21" t="s">
        <v>2182</v>
      </c>
      <c r="H4" s="16" t="s">
        <v>2183</v>
      </c>
      <c r="I4" s="16" t="s">
        <v>2183</v>
      </c>
    </row>
    <row r="5" spans="1:9" x14ac:dyDescent="0.35">
      <c r="A5" t="s">
        <v>2184</v>
      </c>
      <c r="B5" s="10" t="s">
        <v>2185</v>
      </c>
      <c r="C5" t="s">
        <v>2165</v>
      </c>
      <c r="D5" t="s">
        <v>2186</v>
      </c>
      <c r="E5" s="10" t="s">
        <v>2187</v>
      </c>
      <c r="F5" s="17" t="s">
        <v>2188</v>
      </c>
      <c r="G5" s="20" t="s">
        <v>2186</v>
      </c>
      <c r="H5" s="10" t="s">
        <v>2186</v>
      </c>
      <c r="I5" s="10" t="s">
        <v>2186</v>
      </c>
    </row>
    <row r="6" spans="1:9" s="22" customFormat="1" x14ac:dyDescent="0.35">
      <c r="A6" s="22" t="s">
        <v>2189</v>
      </c>
      <c r="B6" s="23" t="s">
        <v>2190</v>
      </c>
      <c r="C6" s="22" t="s">
        <v>2165</v>
      </c>
      <c r="D6" s="22">
        <v>1</v>
      </c>
      <c r="E6" s="23" t="s">
        <v>2191</v>
      </c>
      <c r="F6" s="24" t="s">
        <v>2192</v>
      </c>
      <c r="G6" s="25" t="s">
        <v>2192</v>
      </c>
      <c r="H6" s="23" t="s">
        <v>2193</v>
      </c>
      <c r="I6" s="23" t="s">
        <v>2194</v>
      </c>
    </row>
    <row r="7" spans="1:9" x14ac:dyDescent="0.35">
      <c r="A7" t="s">
        <v>2195</v>
      </c>
      <c r="B7" s="10" t="s">
        <v>2196</v>
      </c>
      <c r="C7" t="s">
        <v>2165</v>
      </c>
      <c r="D7" t="s">
        <v>2186</v>
      </c>
      <c r="E7" s="10" t="s">
        <v>2197</v>
      </c>
      <c r="F7" s="17" t="s">
        <v>2198</v>
      </c>
      <c r="G7" s="20" t="s">
        <v>2186</v>
      </c>
      <c r="H7" s="10" t="s">
        <v>2199</v>
      </c>
      <c r="I7" s="10" t="s">
        <v>2200</v>
      </c>
    </row>
    <row r="8" spans="1:9" x14ac:dyDescent="0.35">
      <c r="A8" t="s">
        <v>2201</v>
      </c>
      <c r="B8" s="10" t="s">
        <v>2190</v>
      </c>
      <c r="C8" t="s">
        <v>2165</v>
      </c>
      <c r="D8" t="s">
        <v>2202</v>
      </c>
      <c r="E8" s="10" t="s">
        <v>2203</v>
      </c>
      <c r="F8" s="17" t="s">
        <v>2204</v>
      </c>
      <c r="G8" s="20" t="s">
        <v>2186</v>
      </c>
      <c r="H8" s="10" t="s">
        <v>2200</v>
      </c>
      <c r="I8" s="10" t="s">
        <v>2205</v>
      </c>
    </row>
    <row r="9" spans="1:9" x14ac:dyDescent="0.35">
      <c r="A9" t="s">
        <v>2206</v>
      </c>
      <c r="B9" s="10" t="s">
        <v>2207</v>
      </c>
      <c r="C9" t="s">
        <v>2165</v>
      </c>
      <c r="D9" t="s">
        <v>2208</v>
      </c>
      <c r="E9" s="10" t="s">
        <v>2209</v>
      </c>
      <c r="F9" s="17" t="s">
        <v>2210</v>
      </c>
      <c r="G9" s="20" t="s">
        <v>2186</v>
      </c>
      <c r="H9" s="10" t="s">
        <v>2186</v>
      </c>
      <c r="I9" s="10" t="s">
        <v>2186</v>
      </c>
    </row>
    <row r="11" spans="1:9" x14ac:dyDescent="0.35">
      <c r="F11" s="12"/>
    </row>
    <row r="12" spans="1:9" x14ac:dyDescent="0.35">
      <c r="F12"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B2225-2006-4BCE-BFD4-B3B963F7CEDC}">
  <sheetPr codeName="Sheet5"/>
  <dimension ref="A1:B19"/>
  <sheetViews>
    <sheetView workbookViewId="0">
      <selection activeCell="D9" sqref="D9"/>
    </sheetView>
  </sheetViews>
  <sheetFormatPr defaultRowHeight="14.5" x14ac:dyDescent="0.35"/>
  <cols>
    <col min="1" max="1" width="13.1796875" bestFit="1" customWidth="1"/>
  </cols>
  <sheetData>
    <row r="1" spans="1:2" ht="15.5" x14ac:dyDescent="0.35">
      <c r="A1" s="4" t="s">
        <v>3</v>
      </c>
    </row>
    <row r="2" spans="1:2" ht="15.5" x14ac:dyDescent="0.35">
      <c r="A2" s="5" t="s">
        <v>512</v>
      </c>
      <c r="B2" s="6">
        <v>6.25E-2</v>
      </c>
    </row>
    <row r="3" spans="1:2" ht="15.5" x14ac:dyDescent="0.35">
      <c r="A3" s="5" t="s">
        <v>2211</v>
      </c>
      <c r="B3" s="6">
        <v>6.25E-2</v>
      </c>
    </row>
    <row r="4" spans="1:2" x14ac:dyDescent="0.35">
      <c r="A4" t="s">
        <v>2212</v>
      </c>
      <c r="B4" s="6">
        <v>6.25E-2</v>
      </c>
    </row>
    <row r="5" spans="1:2" x14ac:dyDescent="0.35">
      <c r="A5" t="s">
        <v>2213</v>
      </c>
      <c r="B5" s="6">
        <v>6.25E-2</v>
      </c>
    </row>
    <row r="6" spans="1:2" x14ac:dyDescent="0.35">
      <c r="A6" t="s">
        <v>2214</v>
      </c>
      <c r="B6" s="6">
        <v>6.25E-2</v>
      </c>
    </row>
    <row r="7" spans="1:2" x14ac:dyDescent="0.35">
      <c r="A7" t="s">
        <v>2215</v>
      </c>
      <c r="B7" s="6">
        <v>6.25E-2</v>
      </c>
    </row>
    <row r="8" spans="1:2" x14ac:dyDescent="0.35">
      <c r="A8" t="s">
        <v>28</v>
      </c>
      <c r="B8" s="6">
        <v>6.25E-2</v>
      </c>
    </row>
    <row r="9" spans="1:2" x14ac:dyDescent="0.35">
      <c r="A9" t="s">
        <v>2216</v>
      </c>
      <c r="B9" s="6">
        <v>6.25E-2</v>
      </c>
    </row>
    <row r="10" spans="1:2" x14ac:dyDescent="0.35">
      <c r="A10" t="s">
        <v>2217</v>
      </c>
      <c r="B10" s="6">
        <v>6.25E-2</v>
      </c>
    </row>
    <row r="11" spans="1:2" x14ac:dyDescent="0.35">
      <c r="A11" t="s">
        <v>2218</v>
      </c>
      <c r="B11" s="6">
        <v>6.25E-2</v>
      </c>
    </row>
    <row r="12" spans="1:2" x14ac:dyDescent="0.35">
      <c r="A12" t="s">
        <v>2219</v>
      </c>
      <c r="B12" s="6">
        <v>6.25E-2</v>
      </c>
    </row>
    <row r="13" spans="1:2" x14ac:dyDescent="0.35">
      <c r="A13" t="s">
        <v>2220</v>
      </c>
      <c r="B13" s="6">
        <v>6.25E-2</v>
      </c>
    </row>
    <row r="14" spans="1:2" x14ac:dyDescent="0.35">
      <c r="A14" t="s">
        <v>2221</v>
      </c>
      <c r="B14" s="6">
        <v>6.25E-2</v>
      </c>
    </row>
    <row r="15" spans="1:2" x14ac:dyDescent="0.35">
      <c r="A15" t="s">
        <v>2222</v>
      </c>
      <c r="B15" s="6">
        <v>6.25E-2</v>
      </c>
    </row>
    <row r="16" spans="1:2" x14ac:dyDescent="0.35">
      <c r="A16" t="s">
        <v>321</v>
      </c>
      <c r="B16" s="6">
        <v>6.25E-2</v>
      </c>
    </row>
    <row r="17" spans="1:2" x14ac:dyDescent="0.35">
      <c r="A17" t="s">
        <v>303</v>
      </c>
      <c r="B17" s="6">
        <v>6.25E-2</v>
      </c>
    </row>
    <row r="19" spans="1:2" x14ac:dyDescent="0.35">
      <c r="B19" s="6">
        <f>SUM(B2:B18)</f>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35D6-0AC4-46A5-9AC3-775DD0BE6174}">
  <sheetPr codeName="Sheet6"/>
  <dimension ref="A1:B21"/>
  <sheetViews>
    <sheetView workbookViewId="0">
      <selection activeCell="E23" sqref="E23"/>
    </sheetView>
  </sheetViews>
  <sheetFormatPr defaultRowHeight="15.65" customHeight="1" x14ac:dyDescent="0.35"/>
  <cols>
    <col min="1" max="1" width="35.54296875" customWidth="1"/>
  </cols>
  <sheetData>
    <row r="1" spans="1:2" ht="15.65" customHeight="1" x14ac:dyDescent="0.35">
      <c r="A1" s="1" t="s">
        <v>2223</v>
      </c>
      <c r="B1" s="1" t="s">
        <v>2150</v>
      </c>
    </row>
    <row r="2" spans="1:2" ht="15.65" customHeight="1" x14ac:dyDescent="0.35">
      <c r="A2" t="s">
        <v>349</v>
      </c>
      <c r="B2" s="2">
        <v>0.08</v>
      </c>
    </row>
    <row r="3" spans="1:2" ht="15.65" customHeight="1" x14ac:dyDescent="0.35">
      <c r="A3" t="s">
        <v>483</v>
      </c>
      <c r="B3" s="2">
        <v>0.08</v>
      </c>
    </row>
    <row r="4" spans="1:2" ht="15.65" customHeight="1" x14ac:dyDescent="0.35">
      <c r="A4" t="s">
        <v>164</v>
      </c>
      <c r="B4" s="2">
        <v>0.08</v>
      </c>
    </row>
    <row r="5" spans="1:2" ht="15.65" customHeight="1" x14ac:dyDescent="0.35">
      <c r="A5" t="s">
        <v>32</v>
      </c>
      <c r="B5" s="2">
        <v>0.08</v>
      </c>
    </row>
    <row r="6" spans="1:2" ht="15.65" customHeight="1" x14ac:dyDescent="0.35">
      <c r="A6" t="s">
        <v>78</v>
      </c>
      <c r="B6" s="2">
        <v>7.0000000000000007E-2</v>
      </c>
    </row>
    <row r="7" spans="1:2" ht="15.65" customHeight="1" x14ac:dyDescent="0.35">
      <c r="A7" t="s">
        <v>2224</v>
      </c>
      <c r="B7" s="2">
        <v>7.0000000000000007E-2</v>
      </c>
    </row>
    <row r="8" spans="1:2" ht="15.65" customHeight="1" x14ac:dyDescent="0.35">
      <c r="A8" t="s">
        <v>2225</v>
      </c>
      <c r="B8" s="2">
        <v>0.06</v>
      </c>
    </row>
    <row r="9" spans="1:2" ht="15.65" customHeight="1" x14ac:dyDescent="0.35">
      <c r="A9" t="s">
        <v>2226</v>
      </c>
      <c r="B9" s="2">
        <v>0.06</v>
      </c>
    </row>
    <row r="10" spans="1:2" ht="15.65" customHeight="1" x14ac:dyDescent="0.35">
      <c r="A10" t="s">
        <v>429</v>
      </c>
      <c r="B10" s="2">
        <v>0.06</v>
      </c>
    </row>
    <row r="11" spans="1:2" ht="15.65" customHeight="1" x14ac:dyDescent="0.35">
      <c r="A11" t="s">
        <v>2227</v>
      </c>
      <c r="B11" s="2">
        <v>0.06</v>
      </c>
    </row>
    <row r="12" spans="1:2" ht="15.65" customHeight="1" x14ac:dyDescent="0.35">
      <c r="A12" t="s">
        <v>575</v>
      </c>
      <c r="B12" s="2">
        <v>0.05</v>
      </c>
    </row>
    <row r="13" spans="1:2" ht="15.65" customHeight="1" x14ac:dyDescent="0.35">
      <c r="A13" t="s">
        <v>223</v>
      </c>
      <c r="B13" s="2">
        <v>0.05</v>
      </c>
    </row>
    <row r="14" spans="1:2" ht="15.65" customHeight="1" x14ac:dyDescent="0.35">
      <c r="A14" t="s">
        <v>2228</v>
      </c>
      <c r="B14" s="2">
        <v>0.05</v>
      </c>
    </row>
    <row r="15" spans="1:2" ht="15.65" customHeight="1" x14ac:dyDescent="0.35">
      <c r="A15" t="s">
        <v>2229</v>
      </c>
      <c r="B15" s="2">
        <v>0.05</v>
      </c>
    </row>
    <row r="16" spans="1:2" ht="15.65" customHeight="1" x14ac:dyDescent="0.35">
      <c r="A16" t="s">
        <v>438</v>
      </c>
      <c r="B16" s="2">
        <v>0.04</v>
      </c>
    </row>
    <row r="17" spans="1:2" ht="15.65" customHeight="1" x14ac:dyDescent="0.35">
      <c r="A17" t="s">
        <v>2230</v>
      </c>
      <c r="B17" s="2">
        <v>0.03</v>
      </c>
    </row>
    <row r="18" spans="1:2" ht="15.65" customHeight="1" x14ac:dyDescent="0.35">
      <c r="A18" t="s">
        <v>2231</v>
      </c>
      <c r="B18" s="2">
        <v>0.03</v>
      </c>
    </row>
    <row r="19" spans="1:2" ht="15.65" customHeight="1" x14ac:dyDescent="0.35">
      <c r="A19" s="7"/>
    </row>
    <row r="21" spans="1:2" ht="15.65" customHeight="1" x14ac:dyDescent="0.35">
      <c r="B21" s="2">
        <f>SUM(B2:B20)</f>
        <v>1.0000000000000004</v>
      </c>
    </row>
  </sheetData>
  <sortState xmlns:xlrd2="http://schemas.microsoft.com/office/spreadsheetml/2017/richdata2" ref="A2:B18">
    <sortCondition descending="1" ref="B2:B1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8556A-75FA-4073-83AF-1F78CA8A4ACC}">
  <sheetPr codeName="Sheet7"/>
  <dimension ref="A1:A5"/>
  <sheetViews>
    <sheetView workbookViewId="0"/>
  </sheetViews>
  <sheetFormatPr defaultRowHeight="14.5" x14ac:dyDescent="0.35"/>
  <cols>
    <col min="1" max="1" width="41.1796875" bestFit="1" customWidth="1"/>
  </cols>
  <sheetData>
    <row r="1" spans="1:1" x14ac:dyDescent="0.35">
      <c r="A1" t="s">
        <v>2232</v>
      </c>
    </row>
    <row r="2" spans="1:1" x14ac:dyDescent="0.35">
      <c r="A2" t="s">
        <v>2233</v>
      </c>
    </row>
    <row r="3" spans="1:1" x14ac:dyDescent="0.35">
      <c r="A3" t="s">
        <v>2234</v>
      </c>
    </row>
    <row r="4" spans="1:1" x14ac:dyDescent="0.35">
      <c r="A4" t="s">
        <v>2235</v>
      </c>
    </row>
    <row r="5" spans="1:1" x14ac:dyDescent="0.35">
      <c r="A5" t="s">
        <v>2236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C19E0-F1F8-4D4A-99A1-91F7D83DC0D0}">
  <sheetPr codeName="Sheet8"/>
  <dimension ref="A1:E56"/>
  <sheetViews>
    <sheetView workbookViewId="0">
      <selection activeCell="E55" sqref="E55"/>
    </sheetView>
  </sheetViews>
  <sheetFormatPr defaultRowHeight="14.5" x14ac:dyDescent="0.35"/>
  <cols>
    <col min="1" max="1" width="12.81640625" bestFit="1" customWidth="1"/>
    <col min="2" max="2" width="44.1796875" bestFit="1" customWidth="1"/>
    <col min="4" max="4" width="12.81640625" bestFit="1" customWidth="1"/>
    <col min="5" max="5" width="49.453125" bestFit="1" customWidth="1"/>
  </cols>
  <sheetData>
    <row r="1" spans="1:5" ht="15.5" x14ac:dyDescent="0.35">
      <c r="A1" s="3" t="s">
        <v>2237</v>
      </c>
      <c r="B1" s="1" t="s">
        <v>2149</v>
      </c>
      <c r="D1" s="3" t="s">
        <v>2237</v>
      </c>
      <c r="E1" s="3" t="s">
        <v>2238</v>
      </c>
    </row>
    <row r="2" spans="1:5" x14ac:dyDescent="0.35">
      <c r="A2" t="s">
        <v>2239</v>
      </c>
      <c r="B2" s="2" t="s">
        <v>29</v>
      </c>
      <c r="D2" t="s">
        <v>2240</v>
      </c>
      <c r="E2" t="s">
        <v>1248</v>
      </c>
    </row>
    <row r="3" spans="1:5" x14ac:dyDescent="0.35">
      <c r="A3" t="s">
        <v>2241</v>
      </c>
      <c r="B3" s="2" t="s">
        <v>123</v>
      </c>
      <c r="D3" t="s">
        <v>2242</v>
      </c>
      <c r="E3" t="s">
        <v>2243</v>
      </c>
    </row>
    <row r="4" spans="1:5" x14ac:dyDescent="0.35">
      <c r="A4" t="s">
        <v>2244</v>
      </c>
      <c r="B4" s="2" t="s">
        <v>2153</v>
      </c>
      <c r="D4" t="s">
        <v>2245</v>
      </c>
      <c r="E4" t="s">
        <v>1261</v>
      </c>
    </row>
    <row r="5" spans="1:5" x14ac:dyDescent="0.35">
      <c r="A5" t="s">
        <v>2246</v>
      </c>
      <c r="B5" s="2" t="s">
        <v>143</v>
      </c>
      <c r="D5" t="s">
        <v>2247</v>
      </c>
      <c r="E5" t="s">
        <v>1273</v>
      </c>
    </row>
    <row r="6" spans="1:5" x14ac:dyDescent="0.35">
      <c r="A6" t="s">
        <v>2248</v>
      </c>
      <c r="B6" s="2" t="s">
        <v>162</v>
      </c>
      <c r="D6" t="s">
        <v>2249</v>
      </c>
      <c r="E6" t="s">
        <v>2250</v>
      </c>
    </row>
    <row r="7" spans="1:5" x14ac:dyDescent="0.35">
      <c r="A7" t="s">
        <v>2251</v>
      </c>
      <c r="B7" s="2" t="s">
        <v>2252</v>
      </c>
      <c r="D7" t="s">
        <v>2253</v>
      </c>
      <c r="E7" t="s">
        <v>1282</v>
      </c>
    </row>
    <row r="8" spans="1:5" x14ac:dyDescent="0.35">
      <c r="A8" t="s">
        <v>2254</v>
      </c>
      <c r="B8" s="2" t="s">
        <v>573</v>
      </c>
      <c r="D8" t="s">
        <v>2255</v>
      </c>
      <c r="E8" t="s">
        <v>1297</v>
      </c>
    </row>
    <row r="9" spans="1:5" x14ac:dyDescent="0.35">
      <c r="A9" t="s">
        <v>2256</v>
      </c>
      <c r="B9" s="2" t="s">
        <v>2152</v>
      </c>
      <c r="D9" t="s">
        <v>2257</v>
      </c>
      <c r="E9" t="s">
        <v>1317</v>
      </c>
    </row>
    <row r="10" spans="1:5" x14ac:dyDescent="0.35">
      <c r="A10" t="s">
        <v>2258</v>
      </c>
      <c r="B10" s="2" t="s">
        <v>315</v>
      </c>
      <c r="D10" t="s">
        <v>2259</v>
      </c>
      <c r="E10" t="s">
        <v>1326</v>
      </c>
    </row>
    <row r="11" spans="1:5" x14ac:dyDescent="0.35">
      <c r="A11" t="s">
        <v>2260</v>
      </c>
      <c r="B11" s="2" t="s">
        <v>354</v>
      </c>
      <c r="D11" t="s">
        <v>2261</v>
      </c>
      <c r="E11" t="s">
        <v>1330</v>
      </c>
    </row>
    <row r="12" spans="1:5" x14ac:dyDescent="0.35">
      <c r="A12" t="s">
        <v>2262</v>
      </c>
      <c r="B12" s="2" t="s">
        <v>366</v>
      </c>
      <c r="D12" t="s">
        <v>2263</v>
      </c>
      <c r="E12" t="s">
        <v>1333</v>
      </c>
    </row>
    <row r="13" spans="1:5" x14ac:dyDescent="0.35">
      <c r="A13" t="s">
        <v>2264</v>
      </c>
      <c r="B13" s="2" t="s">
        <v>684</v>
      </c>
      <c r="D13" t="s">
        <v>2265</v>
      </c>
      <c r="E13" t="s">
        <v>2266</v>
      </c>
    </row>
    <row r="14" spans="1:5" x14ac:dyDescent="0.35">
      <c r="A14" t="s">
        <v>2267</v>
      </c>
      <c r="B14" s="2" t="s">
        <v>472</v>
      </c>
      <c r="D14" t="s">
        <v>2268</v>
      </c>
      <c r="E14" t="s">
        <v>1336</v>
      </c>
    </row>
    <row r="15" spans="1:5" x14ac:dyDescent="0.35">
      <c r="A15" t="s">
        <v>2269</v>
      </c>
      <c r="B15" s="2" t="s">
        <v>996</v>
      </c>
      <c r="D15" t="s">
        <v>2270</v>
      </c>
      <c r="E15" t="s">
        <v>2271</v>
      </c>
    </row>
    <row r="16" spans="1:5" x14ac:dyDescent="0.35">
      <c r="A16" t="s">
        <v>2272</v>
      </c>
      <c r="B16" s="2" t="s">
        <v>423</v>
      </c>
      <c r="D16" t="s">
        <v>2273</v>
      </c>
      <c r="E16" t="s">
        <v>1357</v>
      </c>
    </row>
    <row r="17" spans="1:5" x14ac:dyDescent="0.35">
      <c r="A17" t="s">
        <v>2274</v>
      </c>
      <c r="B17" s="2" t="s">
        <v>445</v>
      </c>
      <c r="D17" t="s">
        <v>2275</v>
      </c>
      <c r="E17" t="s">
        <v>1364</v>
      </c>
    </row>
    <row r="18" spans="1:5" x14ac:dyDescent="0.35">
      <c r="A18" t="s">
        <v>2276</v>
      </c>
      <c r="B18" s="2" t="s">
        <v>466</v>
      </c>
      <c r="D18" t="s">
        <v>2277</v>
      </c>
      <c r="E18" t="s">
        <v>1486</v>
      </c>
    </row>
    <row r="19" spans="1:5" x14ac:dyDescent="0.35">
      <c r="A19" t="s">
        <v>2278</v>
      </c>
      <c r="B19" s="2" t="s">
        <v>521</v>
      </c>
      <c r="D19" t="s">
        <v>2279</v>
      </c>
      <c r="E19" t="s">
        <v>1505</v>
      </c>
    </row>
    <row r="20" spans="1:5" x14ac:dyDescent="0.35">
      <c r="A20" t="s">
        <v>2280</v>
      </c>
      <c r="B20" s="2" t="s">
        <v>2151</v>
      </c>
      <c r="D20" t="s">
        <v>2281</v>
      </c>
      <c r="E20" t="s">
        <v>1501</v>
      </c>
    </row>
    <row r="21" spans="1:5" x14ac:dyDescent="0.35">
      <c r="A21" t="s">
        <v>2282</v>
      </c>
      <c r="B21" s="2" t="s">
        <v>940</v>
      </c>
      <c r="D21" t="s">
        <v>2283</v>
      </c>
      <c r="E21" t="s">
        <v>1509</v>
      </c>
    </row>
    <row r="22" spans="1:5" x14ac:dyDescent="0.35">
      <c r="A22" t="s">
        <v>2284</v>
      </c>
      <c r="B22" s="2" t="s">
        <v>2285</v>
      </c>
      <c r="D22" t="s">
        <v>2286</v>
      </c>
      <c r="E22" t="s">
        <v>1519</v>
      </c>
    </row>
    <row r="23" spans="1:5" x14ac:dyDescent="0.35">
      <c r="A23" t="s">
        <v>2287</v>
      </c>
      <c r="B23" s="2" t="s">
        <v>1109</v>
      </c>
      <c r="D23" t="s">
        <v>2288</v>
      </c>
      <c r="E23" t="s">
        <v>2289</v>
      </c>
    </row>
    <row r="24" spans="1:5" x14ac:dyDescent="0.35">
      <c r="A24" t="s">
        <v>2558</v>
      </c>
      <c r="B24" s="2" t="s">
        <v>2559</v>
      </c>
      <c r="D24" t="s">
        <v>2290</v>
      </c>
      <c r="E24" t="s">
        <v>1761</v>
      </c>
    </row>
    <row r="25" spans="1:5" x14ac:dyDescent="0.35">
      <c r="D25" t="s">
        <v>2291</v>
      </c>
      <c r="E25" t="s">
        <v>2292</v>
      </c>
    </row>
    <row r="26" spans="1:5" x14ac:dyDescent="0.35">
      <c r="D26" t="s">
        <v>2293</v>
      </c>
      <c r="E26" t="s">
        <v>1528</v>
      </c>
    </row>
    <row r="27" spans="1:5" x14ac:dyDescent="0.35">
      <c r="D27" t="s">
        <v>2294</v>
      </c>
      <c r="E27" t="s">
        <v>1573</v>
      </c>
    </row>
    <row r="28" spans="1:5" x14ac:dyDescent="0.35">
      <c r="D28" t="s">
        <v>2295</v>
      </c>
      <c r="E28" t="s">
        <v>1401</v>
      </c>
    </row>
    <row r="29" spans="1:5" x14ac:dyDescent="0.35">
      <c r="D29" t="s">
        <v>2296</v>
      </c>
      <c r="E29" t="s">
        <v>1633</v>
      </c>
    </row>
    <row r="30" spans="1:5" x14ac:dyDescent="0.35">
      <c r="D30" t="s">
        <v>2297</v>
      </c>
      <c r="E30" t="s">
        <v>1378</v>
      </c>
    </row>
    <row r="31" spans="1:5" x14ac:dyDescent="0.35">
      <c r="D31" t="s">
        <v>2295</v>
      </c>
      <c r="E31" t="s">
        <v>2298</v>
      </c>
    </row>
    <row r="32" spans="1:5" x14ac:dyDescent="0.35">
      <c r="D32" t="s">
        <v>2299</v>
      </c>
      <c r="E32" t="s">
        <v>2300</v>
      </c>
    </row>
    <row r="33" spans="4:5" x14ac:dyDescent="0.35">
      <c r="D33" t="s">
        <v>2301</v>
      </c>
      <c r="E33" t="s">
        <v>1414</v>
      </c>
    </row>
    <row r="34" spans="4:5" x14ac:dyDescent="0.35">
      <c r="D34" t="s">
        <v>2302</v>
      </c>
      <c r="E34" t="s">
        <v>1637</v>
      </c>
    </row>
    <row r="35" spans="4:5" x14ac:dyDescent="0.35">
      <c r="D35" t="s">
        <v>2303</v>
      </c>
      <c r="E35" t="s">
        <v>1646</v>
      </c>
    </row>
    <row r="36" spans="4:5" x14ac:dyDescent="0.35">
      <c r="D36" t="s">
        <v>2304</v>
      </c>
      <c r="E36" t="s">
        <v>1726</v>
      </c>
    </row>
    <row r="37" spans="4:5" x14ac:dyDescent="0.35">
      <c r="D37" t="s">
        <v>2305</v>
      </c>
      <c r="E37" t="s">
        <v>1367</v>
      </c>
    </row>
    <row r="38" spans="4:5" x14ac:dyDescent="0.35">
      <c r="D38" t="s">
        <v>2306</v>
      </c>
      <c r="E38" t="s">
        <v>1420</v>
      </c>
    </row>
    <row r="39" spans="4:5" x14ac:dyDescent="0.35">
      <c r="D39" t="s">
        <v>2307</v>
      </c>
      <c r="E39" t="s">
        <v>1684</v>
      </c>
    </row>
    <row r="40" spans="4:5" x14ac:dyDescent="0.35">
      <c r="D40" t="s">
        <v>2308</v>
      </c>
      <c r="E40" t="s">
        <v>1675</v>
      </c>
    </row>
    <row r="41" spans="4:5" x14ac:dyDescent="0.35">
      <c r="D41" t="s">
        <v>2309</v>
      </c>
      <c r="E41" t="s">
        <v>1382</v>
      </c>
    </row>
    <row r="42" spans="4:5" x14ac:dyDescent="0.35">
      <c r="D42" t="s">
        <v>2310</v>
      </c>
      <c r="E42" t="s">
        <v>1624</v>
      </c>
    </row>
    <row r="43" spans="4:5" x14ac:dyDescent="0.35">
      <c r="D43" t="s">
        <v>2311</v>
      </c>
      <c r="E43" t="s">
        <v>2312</v>
      </c>
    </row>
    <row r="44" spans="4:5" x14ac:dyDescent="0.35">
      <c r="D44" t="s">
        <v>2313</v>
      </c>
      <c r="E44" t="s">
        <v>2314</v>
      </c>
    </row>
    <row r="45" spans="4:5" x14ac:dyDescent="0.35">
      <c r="D45" t="s">
        <v>2315</v>
      </c>
      <c r="E45" t="s">
        <v>1643</v>
      </c>
    </row>
    <row r="46" spans="4:5" x14ac:dyDescent="0.35">
      <c r="D46" t="s">
        <v>2316</v>
      </c>
      <c r="E46" t="s">
        <v>1433</v>
      </c>
    </row>
    <row r="47" spans="4:5" x14ac:dyDescent="0.35">
      <c r="D47" t="s">
        <v>2317</v>
      </c>
      <c r="E47" t="s">
        <v>1424</v>
      </c>
    </row>
    <row r="48" spans="4:5" x14ac:dyDescent="0.35">
      <c r="D48" t="s">
        <v>2318</v>
      </c>
      <c r="E48" t="s">
        <v>1691</v>
      </c>
    </row>
    <row r="49" spans="4:5" x14ac:dyDescent="0.35">
      <c r="D49" t="s">
        <v>2319</v>
      </c>
      <c r="E49" t="s">
        <v>1409</v>
      </c>
    </row>
    <row r="50" spans="4:5" x14ac:dyDescent="0.35">
      <c r="D50" t="s">
        <v>2320</v>
      </c>
      <c r="E50" t="s">
        <v>1474</v>
      </c>
    </row>
    <row r="51" spans="4:5" x14ac:dyDescent="0.35">
      <c r="D51" t="s">
        <v>2321</v>
      </c>
      <c r="E51" t="s">
        <v>1601</v>
      </c>
    </row>
    <row r="52" spans="4:5" x14ac:dyDescent="0.35">
      <c r="D52" t="s">
        <v>2301</v>
      </c>
      <c r="E52" t="s">
        <v>1404</v>
      </c>
    </row>
    <row r="53" spans="4:5" x14ac:dyDescent="0.35">
      <c r="D53" t="s">
        <v>2322</v>
      </c>
      <c r="E53" t="s">
        <v>1465</v>
      </c>
    </row>
    <row r="54" spans="4:5" x14ac:dyDescent="0.35">
      <c r="D54" t="s">
        <v>2323</v>
      </c>
      <c r="E54" t="s">
        <v>1474</v>
      </c>
    </row>
    <row r="55" spans="4:5" x14ac:dyDescent="0.35">
      <c r="D55" t="s">
        <v>2578</v>
      </c>
      <c r="E55" t="s">
        <v>2586</v>
      </c>
    </row>
    <row r="56" spans="4:5" x14ac:dyDescent="0.35">
      <c r="D56" t="s">
        <v>2583</v>
      </c>
      <c r="E56" t="s">
        <v>2584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AE428-1FCF-449B-96E1-3A0A4FEC9F2E}">
  <dimension ref="A1:B11"/>
  <sheetViews>
    <sheetView workbookViewId="0">
      <selection activeCell="A2" sqref="A2"/>
    </sheetView>
  </sheetViews>
  <sheetFormatPr defaultRowHeight="14.5" x14ac:dyDescent="0.35"/>
  <cols>
    <col min="1" max="1" width="78.7265625" bestFit="1" customWidth="1"/>
  </cols>
  <sheetData>
    <row r="1" spans="1:2" x14ac:dyDescent="0.35">
      <c r="A1" t="s">
        <v>2548</v>
      </c>
    </row>
    <row r="2" spans="1:2" x14ac:dyDescent="0.35">
      <c r="A2" t="s">
        <v>2549</v>
      </c>
    </row>
    <row r="3" spans="1:2" x14ac:dyDescent="0.35">
      <c r="A3" t="s">
        <v>2550</v>
      </c>
    </row>
    <row r="4" spans="1:2" x14ac:dyDescent="0.35">
      <c r="A4" t="s">
        <v>2551</v>
      </c>
    </row>
    <row r="5" spans="1:2" x14ac:dyDescent="0.35">
      <c r="A5" t="s">
        <v>2552</v>
      </c>
      <c r="B5" t="s">
        <v>2576</v>
      </c>
    </row>
    <row r="6" spans="1:2" x14ac:dyDescent="0.35">
      <c r="A6" t="s">
        <v>2553</v>
      </c>
      <c r="B6" t="s">
        <v>146</v>
      </c>
    </row>
    <row r="7" spans="1:2" x14ac:dyDescent="0.35">
      <c r="A7" t="s">
        <v>2548</v>
      </c>
      <c r="B7" t="s">
        <v>2575</v>
      </c>
    </row>
    <row r="8" spans="1:2" x14ac:dyDescent="0.35">
      <c r="A8" t="s">
        <v>2554</v>
      </c>
      <c r="B8" t="s">
        <v>2577</v>
      </c>
    </row>
    <row r="9" spans="1:2" x14ac:dyDescent="0.35">
      <c r="A9" t="s">
        <v>2555</v>
      </c>
      <c r="B9" t="s">
        <v>2574</v>
      </c>
    </row>
    <row r="10" spans="1:2" x14ac:dyDescent="0.35">
      <c r="A10" t="s">
        <v>2556</v>
      </c>
      <c r="B10" t="s">
        <v>2574</v>
      </c>
    </row>
    <row r="11" spans="1:2" x14ac:dyDescent="0.35">
      <c r="A11" t="s">
        <v>2557</v>
      </c>
      <c r="B11" t="s">
        <v>2574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Master data </vt:lpstr>
      <vt:lpstr>Sheet1</vt:lpstr>
      <vt:lpstr>Ministry Weighting</vt:lpstr>
      <vt:lpstr>Sheet2</vt:lpstr>
      <vt:lpstr>LGA Weighting</vt:lpstr>
      <vt:lpstr>SDG Weighting</vt:lpstr>
      <vt:lpstr>Office of the governors Project</vt:lpstr>
      <vt:lpstr>MDAs Codes</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Ejiro Jakpa</dc:creator>
  <cp:keywords/>
  <dc:description/>
  <cp:lastModifiedBy>Taraba spdo</cp:lastModifiedBy>
  <cp:revision/>
  <dcterms:created xsi:type="dcterms:W3CDTF">2023-10-13T09:06:27Z</dcterms:created>
  <dcterms:modified xsi:type="dcterms:W3CDTF">2026-09-24T11:55:07Z</dcterms:modified>
  <cp:category/>
  <cp:contentStatus/>
</cp:coreProperties>
</file>